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ospects" sheetId="2" state="visible" r:id="rId4"/>
    <sheet name="NI Operators" sheetId="3" state="visible" r:id="rId5"/>
    <sheet name="Ecosystem" sheetId="4" state="visible" r:id="rId6"/>
    <sheet name="Pipeline" sheetId="5" state="visible" r:id="rId7"/>
  </sheets>
  <definedNames>
    <definedName function="false" hidden="true" localSheetId="1" name="_xlnm._FilterDatabase" vbProcedure="false">Prospects!$A$1:$Q$21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Fleetskipper</author>
  </authors>
  <commentList>
    <comment ref="A1" authorId="0">
      <text>
        <r>
          <rPr>
            <sz val="10"/>
            <rFont val="Arial"/>
            <family val="2"/>
          </rPr>
          <t xml:space="preserve">Pre-seeded with public UK workboat operators. Verify everything before outreach — fleet sizes and bases are approximate. Add more rows as you research.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Fleetskipper</author>
  </authors>
  <commentList>
    <comment ref="A1" authorId="0">
      <text>
        <r>
          <rPr>
            <sz val="10"/>
            <rFont val="Arial"/>
            <family val="2"/>
          </rPr>
          <t xml:space="preserve">Compiled from public sources (MCA, port authority websites, NI Fishery Harbour Authority, Aquaculture NI, Irish Ports directory, trade press, LinkedIn) on 2026-04-19. Not exhaustive — treat as a starting list. Verify each entry before outreach.</t>
        </r>
      </text>
    </comment>
  </commentList>
</comments>
</file>

<file path=xl/sharedStrings.xml><?xml version="1.0" encoding="utf-8"?>
<sst xmlns="http://schemas.openxmlformats.org/spreadsheetml/2006/main" count="546" uniqueCount="374">
  <si>
    <t xml:space="preserve">Fleetskipper — Outreach Tracker</t>
  </si>
  <si>
    <t xml:space="preserve">How to use this workbook</t>
  </si>
  <si>
    <t xml:space="preserve">1. Prospects tab — your main working list. Pre-seeded with public UK workboat operators.</t>
  </si>
  <si>
    <t xml:space="preserve">   Research each one, add contact details, set priority (A/B/C) and stage, and add a next action + date.</t>
  </si>
  <si>
    <t xml:space="preserve">2. Ecosystem tab — industry bodies, events, and media to plug into. These give you credibility + pipeline volume.</t>
  </si>
  <si>
    <t xml:space="preserve">3. Pipeline tab — auto-updates counts by stage. Your at-a-glance view. Also shows suggested weekly targets.</t>
  </si>
  <si>
    <t xml:space="preserve">Stage definitions</t>
  </si>
  <si>
    <t xml:space="preserve">   Research            — Identifying the company / right contact</t>
  </si>
  <si>
    <t xml:space="preserve">   Ready to contact    — You have the contact's name + LinkedIn/email and a reason to reach out</t>
  </si>
  <si>
    <t xml:space="preserve">   Contacted           — First message sent</t>
  </si>
  <si>
    <t xml:space="preserve">   Replied             — They've engaged (any response)</t>
  </si>
  <si>
    <t xml:space="preserve">   Call booked         — Discovery call on the calendar</t>
  </si>
  <si>
    <t xml:space="preserve">   Demo given          — You've shown them the product</t>
  </si>
  <si>
    <t xml:space="preserve">   Trial               — They're testing the app</t>
  </si>
  <si>
    <t xml:space="preserve">   Closed — Won        — Paying customer</t>
  </si>
  <si>
    <t xml:space="preserve">   Closed — Lost       — Not going ahead</t>
  </si>
  <si>
    <t xml:space="preserve">   Nurture             — Keep warm, revisit later</t>
  </si>
  <si>
    <t xml:space="preserve">Weekly rhythm</t>
  </si>
  <si>
    <t xml:space="preserve">   Monday       Research 10 new contacts; set weekly priorities</t>
  </si>
  <si>
    <t xml:space="preserve">   Tues–Thurs   Send outreach; do follow-ups; take calls</t>
  </si>
  <si>
    <t xml:space="preserve">   Friday       Update the tracker; post on LinkedIn; review the Pipeline tab</t>
  </si>
  <si>
    <t xml:space="preserve">Rules of thumb</t>
  </si>
  <si>
    <t xml:space="preserve">   — Don't mass-blast. Every message should name the company and one thing they do.</t>
  </si>
  <si>
    <t xml:space="preserve">   — Follow up 7–10 days after first contact. Two follow-ups max, then Nurture.</t>
  </si>
  <si>
    <t xml:space="preserve">   — Keep every conversation in Notes — your future self will thank you.</t>
  </si>
  <si>
    <t xml:space="preserve">Data health note</t>
  </si>
  <si>
    <t xml:space="preserve">   Pre-seeded company details are from public sources and may be out of date. Verify before outreach.</t>
  </si>
  <si>
    <t xml:space="preserve">Company</t>
  </si>
  <si>
    <t xml:space="preserve">Fleet type</t>
  </si>
  <si>
    <t xml:space="preserve">Base / port</t>
  </si>
  <si>
    <t xml:space="preserve">Approx fleet size</t>
  </si>
  <si>
    <t xml:space="preserve">Website</t>
  </si>
  <si>
    <t xml:space="preserve">Contact name</t>
  </si>
  <si>
    <t xml:space="preserve">Title</t>
  </si>
  <si>
    <t xml:space="preserve">LinkedIn URL</t>
  </si>
  <si>
    <t xml:space="preserve">Email</t>
  </si>
  <si>
    <t xml:space="preserve">Source</t>
  </si>
  <si>
    <t xml:space="preserve">Priority</t>
  </si>
  <si>
    <t xml:space="preserve">Stage</t>
  </si>
  <si>
    <t xml:space="preserve">First contacted</t>
  </si>
  <si>
    <t xml:space="preserve">Last touch</t>
  </si>
  <si>
    <t xml:space="preserve">Next action</t>
  </si>
  <si>
    <t xml:space="preserve">Next action date</t>
  </si>
  <si>
    <t xml:space="preserve">Notes</t>
  </si>
  <si>
    <t xml:space="preserve">Seacat Services</t>
  </si>
  <si>
    <t xml:space="preserve">CTV (offshore wind)</t>
  </si>
  <si>
    <t xml:space="preserve">Cowes, IoW</t>
  </si>
  <si>
    <t xml:space="preserve">25+</t>
  </si>
  <si>
    <t xml:space="preserve">https://seacatservices.co.uk</t>
  </si>
  <si>
    <t xml:space="preserve">Industry</t>
  </si>
  <si>
    <t xml:space="preserve">A</t>
  </si>
  <si>
    <t xml:space="preserve">Research</t>
  </si>
  <si>
    <t xml:space="preserve">Introductory LinkedIn message to Ops Director</t>
  </si>
  <si>
    <t xml:space="preserve">Large established CTV fleet — high-value prospect</t>
  </si>
  <si>
    <t xml:space="preserve">Windcat Workboats</t>
  </si>
  <si>
    <t xml:space="preserve">Hull / NL</t>
  </si>
  <si>
    <t xml:space="preserve">50+</t>
  </si>
  <si>
    <t xml:space="preserve">https://windcat-workboats.com</t>
  </si>
  <si>
    <t xml:space="preserve">Identify UK-based Ops/Fleet Manager</t>
  </si>
  <si>
    <t xml:space="preserve">One of the largest CTV operators in Europe</t>
  </si>
  <si>
    <t xml:space="preserve">Njord Offshore</t>
  </si>
  <si>
    <t xml:space="preserve">Lowestoft</t>
  </si>
  <si>
    <t xml:space="preserve">15+</t>
  </si>
  <si>
    <t xml:space="preserve">https://njord-offshore.com</t>
  </si>
  <si>
    <t xml:space="preserve">Research current fleet manager</t>
  </si>
  <si>
    <t xml:space="preserve">Turbine Transfers (Holyhead Towing)</t>
  </si>
  <si>
    <t xml:space="preserve">Holyhead</t>
  </si>
  <si>
    <t xml:space="preserve">10+</t>
  </si>
  <si>
    <t xml:space="preserve">https://holyheadtowing.com</t>
  </si>
  <si>
    <t xml:space="preserve">Find Ops Director on LinkedIn</t>
  </si>
  <si>
    <t xml:space="preserve">Part of Holyhead Towing Group</t>
  </si>
  <si>
    <t xml:space="preserve">HST Marine</t>
  </si>
  <si>
    <t xml:space="preserve">Waltham Abbey</t>
  </si>
  <si>
    <t xml:space="preserve">35+</t>
  </si>
  <si>
    <t xml:space="preserve">https://hst-marine.com</t>
  </si>
  <si>
    <t xml:space="preserve">Formerly High Speed Transfers; major CTV fleet</t>
  </si>
  <si>
    <t xml:space="preserve">Dalby Offshore</t>
  </si>
  <si>
    <t xml:space="preserve">Hessle</t>
  </si>
  <si>
    <t xml:space="preserve">https://dalbyoffshore.com</t>
  </si>
  <si>
    <t xml:space="preserve">Tidal Transit</t>
  </si>
  <si>
    <t xml:space="preserve">Wells-next-the-Sea</t>
  </si>
  <si>
    <t xml:space="preserve">https://tidaltransit.co.uk</t>
  </si>
  <si>
    <t xml:space="preserve">B</t>
  </si>
  <si>
    <t xml:space="preserve">MCS (Manor Marine)</t>
  </si>
  <si>
    <t xml:space="preserve">Workboat / marine services</t>
  </si>
  <si>
    <t xml:space="preserve">Portland</t>
  </si>
  <si>
    <t xml:space="preserve">—</t>
  </si>
  <si>
    <t xml:space="preserve">https://manormarine.co.uk</t>
  </si>
  <si>
    <t xml:space="preserve">CWind</t>
  </si>
  <si>
    <t xml:space="preserve">https://cwind.com</t>
  </si>
  <si>
    <t xml:space="preserve">Purus Wind</t>
  </si>
  <si>
    <t xml:space="preserve">https://puruswind.com</t>
  </si>
  <si>
    <t xml:space="preserve">Formerly ZTT Offshore</t>
  </si>
  <si>
    <t xml:space="preserve">Mainprize Offshore</t>
  </si>
  <si>
    <t xml:space="preserve">Bridlington</t>
  </si>
  <si>
    <t xml:space="preserve">5-10</t>
  </si>
  <si>
    <t xml:space="preserve">https://mainprizeoffshore.co.uk</t>
  </si>
  <si>
    <t xml:space="preserve">Williams Shipping</t>
  </si>
  <si>
    <t xml:space="preserve">Workboat / harbour services</t>
  </si>
  <si>
    <t xml:space="preserve">Southampton</t>
  </si>
  <si>
    <t xml:space="preserve">20+</t>
  </si>
  <si>
    <t xml:space="preserve">https://williams-shipping.co.uk</t>
  </si>
  <si>
    <t xml:space="preserve">Diverse workboat fleet — port services</t>
  </si>
  <si>
    <t xml:space="preserve">Briggs Marine &amp; Environmental</t>
  </si>
  <si>
    <t xml:space="preserve">Burntisland</t>
  </si>
  <si>
    <t xml:space="preserve">40+</t>
  </si>
  <si>
    <t xml:space="preserve">https://briggsmarine.com</t>
  </si>
  <si>
    <t xml:space="preserve">Large Scottish operator</t>
  </si>
  <si>
    <t xml:space="preserve">James Fisher Marine Services</t>
  </si>
  <si>
    <t xml:space="preserve">Workboat / offshore</t>
  </si>
  <si>
    <t xml:space="preserve">Barrow-in-Furness</t>
  </si>
  <si>
    <t xml:space="preserve">varies</t>
  </si>
  <si>
    <t xml:space="preserve">https://james-fisher.com</t>
  </si>
  <si>
    <t xml:space="preserve">C</t>
  </si>
  <si>
    <t xml:space="preserve">Large group — may be too big, start smaller</t>
  </si>
  <si>
    <t xml:space="preserve">Atlantic Offshore Rescue</t>
  </si>
  <si>
    <t xml:space="preserve">Workboat / ERRV</t>
  </si>
  <si>
    <t xml:space="preserve">Aberdeen</t>
  </si>
  <si>
    <t xml:space="preserve">https://atlantic-offshore.com</t>
  </si>
  <si>
    <t xml:space="preserve">North Sea focus</t>
  </si>
  <si>
    <t xml:space="preserve">Northern Ireland — workboat &amp; marine operators</t>
  </si>
  <si>
    <t xml:space="preserve">NI's workboat market is small. The realistic pool of WBC3-relevant operators is: port/harbour authorities (who own pilot boats &amp; maintenance workboats), a handful of independent marine contractors, aquaculture operators in Strangford, and the offshore wind tech ecosystem growing around Belfast. Fishing vessels at Kilkeel/Ardglass/Portavogie sit under the Fishing Vessel Code, not WBC3 — flagged separately as Phase 2 targets. Several Irish/Scottish operators also run workboats in NI waters; they're listed at the bottom.</t>
  </si>
  <si>
    <t xml:space="preserve">Type</t>
  </si>
  <si>
    <t xml:space="preserve">Approx fleet / vessels</t>
  </si>
  <si>
    <t xml:space="preserve">NI-based operators &amp; authorities</t>
  </si>
  <si>
    <t xml:space="preserve">Belfast Harbour Commissioners</t>
  </si>
  <si>
    <t xml:space="preserve">Port authority</t>
  </si>
  <si>
    <t xml:space="preserve">Belfast</t>
  </si>
  <si>
    <t xml:space="preserve">Pilot boats, mooring, maintenance craft</t>
  </si>
  <si>
    <t xml:space="preserve">https://www.belfast-harbour.co.uk</t>
  </si>
  <si>
    <t xml:space="preserve">Harbour Master / Marine Ops Mgr</t>
  </si>
  <si>
    <t xml:space="preserve">Direct contact</t>
  </si>
  <si>
    <t xml:space="preserve">Replied</t>
  </si>
  <si>
    <t xml:space="preserve">Follow up for feedback after their review</t>
  </si>
  <si>
    <t xml:space="preserve">2026-04-20: Spoke with them — agreed to evaluate Fleetskipper next week (w/c 27 Apr). Belfast Harbour OWNS and operates the Belfast pilot boats (incl. Hibernia) — Belfast Pilots are the pilots themselves, not the boat operators. THIS is the real WBC3 prospect for pilot craft and harbour workboats. Prep follow-up note for 1 May with an easy way for them to share feedback.</t>
  </si>
  <si>
    <t xml:space="preserve">Belfast Pilots</t>
  </si>
  <si>
    <t xml:space="preserve">Pilotage service (pilots, not boat operators)</t>
  </si>
  <si>
    <t xml:space="preserve">Belfast / Larne</t>
  </si>
  <si>
    <t xml:space="preserve">Pilot launches (shared fleet)</t>
  </si>
  <si>
    <t xml:space="preserve">https://belfastpilots.com</t>
  </si>
  <si>
    <t xml:space="preserve">Senior Pilot / Chair</t>
  </si>
  <si>
    <t xml:space="preserve">Warm intro opportunity — you are a pilot. Message the chair directly.</t>
  </si>
  <si>
    <t xml:space="preserve">NOTE: Belfast Harbour Commissioners own/operate the pilot boats (confirmed 2026-04-20). The pilots themselves aren't the WBC3 vessel operators — but they're an incredibly valuable network for Johnny as a fellow pilot. Position this relationship as referral/credibility, not product sale.</t>
  </si>
  <si>
    <t xml:space="preserve">Larne Port (Peel Ports)</t>
  </si>
  <si>
    <t xml:space="preserve">Larne</t>
  </si>
  <si>
    <t xml:space="preserve">Harbour workboats</t>
  </si>
  <si>
    <t xml:space="preserve">https://www.peelports.com/locations/larne-port</t>
  </si>
  <si>
    <t xml:space="preserve">Port Manager</t>
  </si>
  <si>
    <t xml:space="preserve">Part of Peel Ports Group — decisions may sit in Liverpool.</t>
  </si>
  <si>
    <t xml:space="preserve">Warrenpoint Port</t>
  </si>
  <si>
    <t xml:space="preserve">Warrenpoint</t>
  </si>
  <si>
    <t xml:space="preserve">Harbour craft</t>
  </si>
  <si>
    <t xml:space="preserve">https://www.warrenpointport.com</t>
  </si>
  <si>
    <t xml:space="preserve">Harbour Master</t>
  </si>
  <si>
    <t xml:space="preserve">Second-busiest NI port; independent trust port.</t>
  </si>
  <si>
    <t xml:space="preserve">Foyle Port (Londonderry P&amp;H Commissioners)</t>
  </si>
  <si>
    <t xml:space="preserve">Derry / Londonderry</t>
  </si>
  <si>
    <t xml:space="preserve">https://www.londonderryport.com</t>
  </si>
  <si>
    <t xml:space="preserve">Trust port covering Lough Foyle.</t>
  </si>
  <si>
    <t xml:space="preserve">Coleraine Harbour</t>
  </si>
  <si>
    <t xml:space="preserve">Coleraine</t>
  </si>
  <si>
    <t xml:space="preserve">https://www.coleraineharbour.com</t>
  </si>
  <si>
    <t xml:space="preserve">Smaller port; limited fleet.</t>
  </si>
  <si>
    <t xml:space="preserve">NIFHA — NI Fishery Harbour Authority</t>
  </si>
  <si>
    <t xml:space="preserve">Fishery harbour authority</t>
  </si>
  <si>
    <t xml:space="preserve">Ardglass / Kilkeel / Portavogie</t>
  </si>
  <si>
    <t xml:space="preserve">https://www.nifha.co.uk</t>
  </si>
  <si>
    <t xml:space="preserve">Chief Executive</t>
  </si>
  <si>
    <t xml:space="preserve">Manages the 3 NI fishery harbours; they own and operate harbour service workboats.</t>
  </si>
  <si>
    <t xml:space="preserve">Artemis Technologies</t>
  </si>
  <si>
    <t xml:space="preserve">Marine tech / CTV builder</t>
  </si>
  <si>
    <t xml:space="preserve">Pioneer of Belfast (eFoiler CTV)</t>
  </si>
  <si>
    <t xml:space="preserve">https://www.artemistechnologies.co.uk</t>
  </si>
  <si>
    <t xml:space="preserve">Head of Commercial / COO</t>
  </si>
  <si>
    <t xml:space="preserve">Approach as partner / integration candidate, not just customer</t>
  </si>
  <si>
    <t xml:space="preserve">Potential partner, not pure customer — their CTVs will need ops software. High brand value if you win them.</t>
  </si>
  <si>
    <t xml:space="preserve">SMS Towage (Boluda UK)</t>
  </si>
  <si>
    <t xml:space="preserve">Tug operator</t>
  </si>
  <si>
    <t xml:space="preserve">Belfast + other UK ports</t>
  </si>
  <si>
    <t xml:space="preserve">20 tugs across UK (Belfast one of them)</t>
  </si>
  <si>
    <t xml:space="preserve">https://www.smstowage.com</t>
  </si>
  <si>
    <t xml:space="preserve">NI Operations Manager</t>
  </si>
  <si>
    <t xml:space="preserve">Part of Boluda Towage UK; decision-making likely central. Try the Belfast ops manager first.</t>
  </si>
  <si>
    <t xml:space="preserve">BJ Marine</t>
  </si>
  <si>
    <t xml:space="preserve">Marina / brokerage</t>
  </si>
  <si>
    <t xml:space="preserve">Bangor, Co. Down</t>
  </si>
  <si>
    <t xml:space="preserve">Limited commercial</t>
  </si>
  <si>
    <t xml:space="preserve">https://www.bjmarine.net</t>
  </si>
  <si>
    <t xml:space="preserve">MD</t>
  </si>
  <si>
    <t xml:space="preserve">Mainly leisure/brokerage; possible referral/introducer.</t>
  </si>
  <si>
    <t xml:space="preserve">McLaughlin &amp; Harvey</t>
  </si>
  <si>
    <t xml:space="preserve">Civil engineering w/ marine works</t>
  </si>
  <si>
    <t xml:space="preserve">Mallusk, Belfast</t>
  </si>
  <si>
    <t xml:space="preserve">Operates workboats for marine piling/civil projects</t>
  </si>
  <si>
    <t xml:space="preserve">https://www.mclh.co.uk</t>
  </si>
  <si>
    <t xml:space="preserve">Marine Works Manager / Ops Director</t>
  </si>
  <si>
    <t xml:space="preserve">Large NI contractor; undertakes marine piling. May own/charter workboats project-to-project.</t>
  </si>
  <si>
    <t xml:space="preserve">Rathlin Island Ferry (O'Driscoll Marine)</t>
  </si>
  <si>
    <t xml:space="preserve">Passenger workboat / ferry</t>
  </si>
  <si>
    <t xml:space="preserve">Ballycastle / Rathlin</t>
  </si>
  <si>
    <t xml:space="preserve">2 vessels</t>
  </si>
  <si>
    <t xml:space="preserve">https://www.rathlinballycastleferry.com</t>
  </si>
  <si>
    <t xml:space="preserve">Operations Manager</t>
  </si>
  <si>
    <t xml:space="preserve">Small passenger ferry operation; WBC3 relevance depends on vessel type.</t>
  </si>
  <si>
    <t xml:space="preserve">Strangford Lough Ferry (DfI)</t>
  </si>
  <si>
    <t xml:space="preserve">Passenger ferry (DfI)</t>
  </si>
  <si>
    <t xml:space="preserve">Strangford / Portaferry</t>
  </si>
  <si>
    <t xml:space="preserve">MV Portaferry II / MV Strangford II</t>
  </si>
  <si>
    <t xml:space="preserve">https://www.infrastructure-ni.gov.uk/articles/strangford-ferry</t>
  </si>
  <si>
    <t xml:space="preserve">Ferry Manager</t>
  </si>
  <si>
    <t xml:space="preserve">Operated by Dept for Infrastructure NI; gov decision cycle.</t>
  </si>
  <si>
    <t xml:space="preserve">Cuan Oysters</t>
  </si>
  <si>
    <t xml:space="preserve">Aquaculture (oysters)</t>
  </si>
  <si>
    <t xml:space="preserve">Strangford Lough</t>
  </si>
  <si>
    <t xml:space="preserve">Small workboats</t>
  </si>
  <si>
    <t xml:space="preserve">https://www.cuansealochshellfish.co.uk</t>
  </si>
  <si>
    <t xml:space="preserve">Owner / MD</t>
  </si>
  <si>
    <t xml:space="preserve">One of UK's main oyster producers; Strangford-based.</t>
  </si>
  <si>
    <t xml:space="preserve">Glenarm Organic Salmon</t>
  </si>
  <si>
    <t xml:space="preserve">Aquaculture (salmon)</t>
  </si>
  <si>
    <t xml:space="preserve">Glenarm</t>
  </si>
  <si>
    <t xml:space="preserve">Farm workboats</t>
  </si>
  <si>
    <t xml:space="preserve">https://glenarmorganicsalmon.com</t>
  </si>
  <si>
    <t xml:space="preserve">Farm Manager</t>
  </si>
  <si>
    <t xml:space="preserve">NI's main salmon operation; uses workboats for farm ops.</t>
  </si>
  <si>
    <t xml:space="preserve">Aquaculture Representative Group NI (ARG NI)</t>
  </si>
  <si>
    <t xml:space="preserve">Trade body (networking)</t>
  </si>
  <si>
    <t xml:space="preserve">N/A — networking target</t>
  </si>
  <si>
    <t xml:space="preserve">https://www.aquacultureni.co.uk</t>
  </si>
  <si>
    <t xml:space="preserve">Secretary / Chair</t>
  </si>
  <si>
    <t xml:space="preserve">Introduce Fleetskipper at a member event</t>
  </si>
  <si>
    <t xml:space="preserve">Not a customer — trade body gives access to every NI aquaculture operator in one room.</t>
  </si>
  <si>
    <t xml:space="preserve">Operators based outside NI but running workboats in NI waters</t>
  </si>
  <si>
    <t xml:space="preserve">Alpha Marine</t>
  </si>
  <si>
    <t xml:space="preserve">Tugs / workboats (serves NI)</t>
  </si>
  <si>
    <t xml:space="preserve">Dublin (ROI)</t>
  </si>
  <si>
    <t xml:space="preserve">Tugs, workboats, CTVs</t>
  </si>
  <si>
    <t xml:space="preserve">https://www.alphamarine.ie</t>
  </si>
  <si>
    <t xml:space="preserve">Operates across Ireland, UK, Northern Europe — includes NI waters. May fall under Irish code, not WBC3.</t>
  </si>
  <si>
    <t xml:space="preserve">LCF Marine</t>
  </si>
  <si>
    <t xml:space="preserve">Marine contractor (serves NI)</t>
  </si>
  <si>
    <t xml:space="preserve">Bantry Bay (ROI)</t>
  </si>
  <si>
    <t xml:space="preserve">Multi-purpose workboats</t>
  </si>
  <si>
    <t xml:space="preserve">https://www.lcfmarine.com</t>
  </si>
  <si>
    <t xml:space="preserve">Ireland's leading marine contractor; licensed for UK &amp; Irish waters. Includes NI projects.</t>
  </si>
  <si>
    <t xml:space="preserve">Atlantic Towage &amp; Marine</t>
  </si>
  <si>
    <t xml:space="preserve">Towage / salvage (serves NI)</t>
  </si>
  <si>
    <t xml:space="preserve">Ireland</t>
  </si>
  <si>
    <t xml:space="preserve">Tugs, response vessels</t>
  </si>
  <si>
    <t xml:space="preserve">https://www.atlantictowage.com</t>
  </si>
  <si>
    <t xml:space="preserve">Ops Director</t>
  </si>
  <si>
    <t xml:space="preserve">Ireland-wide; NI coverage for salvage, cable, crew transfer.</t>
  </si>
  <si>
    <t xml:space="preserve">Marine Services (marineservices.ie)</t>
  </si>
  <si>
    <t xml:space="preserve">RIBs &amp; CTVs for hire</t>
  </si>
  <si>
    <t xml:space="preserve">RIBs, CTVs</t>
  </si>
  <si>
    <t xml:space="preserve">https://marineservices.ie</t>
  </si>
  <si>
    <t xml:space="preserve">Fleet of MSO-licensed RIBs and CTVs serving Ireland and NI.</t>
  </si>
  <si>
    <t xml:space="preserve">Offshore Workboats Ltd (OWL)</t>
  </si>
  <si>
    <t xml:space="preserve">Workboat supplier (serves NI)</t>
  </si>
  <si>
    <t xml:space="preserve">Clydebank, Scotland</t>
  </si>
  <si>
    <t xml:space="preserve">Multicats, safety boats, barges</t>
  </si>
  <si>
    <t xml:space="preserve">https://www.offshoreworkboats.co.uk</t>
  </si>
  <si>
    <t xml:space="preserve">Scottish supplier frequently chartered in NW UK and NI waters.</t>
  </si>
  <si>
    <t xml:space="preserve">Phase 2 — fishing vessel ecosystem (Fishing Vessel Code, not WBC3)</t>
  </si>
  <si>
    <t xml:space="preserve">NIFPO — NI Fish Producers' Organisation</t>
  </si>
  <si>
    <t xml:space="preserve">Trade body (fishing fleet)</t>
  </si>
  <si>
    <t xml:space="preserve">Kilkeel</t>
  </si>
  <si>
    <t xml:space="preserve">~110 boats represented</t>
  </si>
  <si>
    <t xml:space="preserve">https://www.nifpo.co.uk</t>
  </si>
  <si>
    <t xml:space="preserve">CEO</t>
  </si>
  <si>
    <t xml:space="preserve">Networking only — fishing vessels are Phase 2 (Fishing Vessel Code, not WBC3)</t>
  </si>
  <si>
    <t xml:space="preserve">Phase 2 target. Represents Kilkeel/Ardglass/Portavogie fleets.</t>
  </si>
  <si>
    <t xml:space="preserve">ANIFPO — Anglo North Irish Fish Producers' Organisation</t>
  </si>
  <si>
    <t xml:space="preserve">Member fleet</t>
  </si>
  <si>
    <t xml:space="preserve">https://anifpo.com</t>
  </si>
  <si>
    <t xml:space="preserve">Networking only — Phase 2</t>
  </si>
  <si>
    <t xml:space="preserve">Phase 2 target; fishing fleet representation.</t>
  </si>
  <si>
    <t xml:space="preserve">Industry bodies, events, and media — plug into these to build presence</t>
  </si>
  <si>
    <t xml:space="preserve">Category</t>
  </si>
  <si>
    <t xml:space="preserve">Name</t>
  </si>
  <si>
    <t xml:space="preserve">URL</t>
  </si>
  <si>
    <t xml:space="preserve">Why it matters</t>
  </si>
  <si>
    <t xml:space="preserve">Your action</t>
  </si>
  <si>
    <t xml:space="preserve">Trade body</t>
  </si>
  <si>
    <t xml:space="preserve">National Workboat Association (NWA)</t>
  </si>
  <si>
    <t xml:space="preserve">https://workboatassociation.org</t>
  </si>
  <si>
    <t xml:space="preserve">THE UK trade body for the WBC3 workboat sector — members are exactly your ICP</t>
  </si>
  <si>
    <t xml:space="preserve">Apply for membership; attend events; get listed as an associate/supplier</t>
  </si>
  <si>
    <t xml:space="preserve">Regulator</t>
  </si>
  <si>
    <t xml:space="preserve">Maritime &amp; Coastguard Agency (MCA)</t>
  </si>
  <si>
    <t xml:space="preserve">https://www.gov.uk/government/organisations/maritime-and-coastguard-agency</t>
  </si>
  <si>
    <t xml:space="preserve">Owns WBC3 — credibility comes from alignment, not a sale</t>
  </si>
  <si>
    <t xml:space="preserve">Follow updates; reference WBC3 clauses accurately in content</t>
  </si>
  <si>
    <t xml:space="preserve">British Ports Association</t>
  </si>
  <si>
    <t xml:space="preserve">https://www.britishports.org.uk</t>
  </si>
  <si>
    <t xml:space="preserve">Ports own/operate workboats and host your prospects</t>
  </si>
  <si>
    <t xml:space="preserve">Monitor membership for leads</t>
  </si>
  <si>
    <t xml:space="preserve">Maritime UK</t>
  </si>
  <si>
    <t xml:space="preserve">https://www.maritimeuk.org</t>
  </si>
  <si>
    <t xml:space="preserve">Umbrella body, useful for visibility</t>
  </si>
  <si>
    <t xml:space="preserve">Apply for SME membership; look at regional clusters (Solent, Mersey, Humber)</t>
  </si>
  <si>
    <t xml:space="preserve">Society of Maritime Industries</t>
  </si>
  <si>
    <t xml:space="preserve">https://www.maritimeindustries.org</t>
  </si>
  <si>
    <t xml:space="preserve">Suppliers + tech; useful for positioning as maritime tech</t>
  </si>
  <si>
    <t xml:space="preserve">Consider membership</t>
  </si>
  <si>
    <t xml:space="preserve">Event</t>
  </si>
  <si>
    <t xml:space="preserve">Seawork International</t>
  </si>
  <si>
    <t xml:space="preserve">https://www.seawork.com</t>
  </si>
  <si>
    <t xml:space="preserve">THE UK commercial marine show; workboat-heavy; held in Southampton (June)</t>
  </si>
  <si>
    <t xml:space="preserve">Visit this year; plan exhibit/partner booth for next year</t>
  </si>
  <si>
    <t xml:space="preserve">CTV Summit</t>
  </si>
  <si>
    <t xml:space="preserve">https://ctvsummit.com</t>
  </si>
  <si>
    <t xml:space="preserve">CTV-focused operator gathering</t>
  </si>
  <si>
    <t xml:space="preserve">Attend; target ops directors</t>
  </si>
  <si>
    <t xml:space="preserve">NWA Annual Conference</t>
  </si>
  <si>
    <t xml:space="preserve">https://workboatassociation.org/events</t>
  </si>
  <si>
    <t xml:space="preserve">Members-only type gathering; high-density prospect</t>
  </si>
  <si>
    <t xml:space="preserve">Attend once you're a member/sponsor</t>
  </si>
  <si>
    <t xml:space="preserve">Offshore Wind Connections</t>
  </si>
  <si>
    <t xml:space="preserve">https://offshorewindconnections.com</t>
  </si>
  <si>
    <t xml:space="preserve">Offshore wind supply chain networking</t>
  </si>
  <si>
    <t xml:space="preserve">Low-cost way to meet CTV ops folks</t>
  </si>
  <si>
    <t xml:space="preserve">Media</t>
  </si>
  <si>
    <t xml:space="preserve">Workboat World</t>
  </si>
  <si>
    <t xml:space="preserve">https://www.baird.com.au/workboat-world</t>
  </si>
  <si>
    <t xml:space="preserve">Global workboat trade mag — pitch stories/case studies</t>
  </si>
  <si>
    <t xml:space="preserve">Pitch a case study once you have a paying pilot customer</t>
  </si>
  <si>
    <t xml:space="preserve">Maritime Journal</t>
  </si>
  <si>
    <t xml:space="preserve">https://www.maritimejournal.com</t>
  </si>
  <si>
    <t xml:space="preserve">UK/European commercial marine news</t>
  </si>
  <si>
    <t xml:space="preserve">Press release on launch / notable milestones</t>
  </si>
  <si>
    <t xml:space="preserve">Marine Industry News</t>
  </si>
  <si>
    <t xml:space="preserve">https://marineindustrynews.co.uk</t>
  </si>
  <si>
    <t xml:space="preserve">General marine industry news, UK-focused</t>
  </si>
  <si>
    <t xml:space="preserve">Pitch product news, opinion pieces</t>
  </si>
  <si>
    <t xml:space="preserve">reNews</t>
  </si>
  <si>
    <t xml:space="preserve">https://renews.biz</t>
  </si>
  <si>
    <t xml:space="preserve">Offshore wind daily</t>
  </si>
  <si>
    <t xml:space="preserve">Pitch if story has offshore wind angle</t>
  </si>
  <si>
    <t xml:space="preserve">4C Offshore</t>
  </si>
  <si>
    <t xml:space="preserve">https://www.4coffshore.com</t>
  </si>
  <si>
    <t xml:space="preserve">Offshore wind data + news; vessel tracking</t>
  </si>
  <si>
    <t xml:space="preserve">Reference for fleet data</t>
  </si>
  <si>
    <t xml:space="preserve">Adjacent tech</t>
  </si>
  <si>
    <t xml:space="preserve">Spinergie, Helm Operations, Damen Marine Components (Vantage)</t>
  </si>
  <si>
    <t xml:space="preserve">(various)</t>
  </si>
  <si>
    <t xml:space="preserve">Existing tools in this space — friend or foe; partnership potential</t>
  </si>
  <si>
    <t xml:space="preserve">Competitive analysis + potential integration partners</t>
  </si>
  <si>
    <t xml:space="preserve">Pipeline at a glance</t>
  </si>
  <si>
    <t xml:space="preserve">Count</t>
  </si>
  <si>
    <t xml:space="preserve">% of total</t>
  </si>
  <si>
    <t xml:space="preserve">Ready to contact</t>
  </si>
  <si>
    <t xml:space="preserve">Contacted</t>
  </si>
  <si>
    <t xml:space="preserve">Call booked</t>
  </si>
  <si>
    <t xml:space="preserve">Demo given</t>
  </si>
  <si>
    <t xml:space="preserve">Trial</t>
  </si>
  <si>
    <t xml:space="preserve">Closed — Won</t>
  </si>
  <si>
    <t xml:space="preserve">Closed — Lost</t>
  </si>
  <si>
    <t xml:space="preserve">Nurture</t>
  </si>
  <si>
    <t xml:space="preserve">Total companies</t>
  </si>
  <si>
    <t xml:space="preserve">Weekly targets (suggested starting point)</t>
  </si>
  <si>
    <t xml:space="preserve">New contacts researched</t>
  </si>
  <si>
    <t xml:space="preserve">10 / week</t>
  </si>
  <si>
    <t xml:space="preserve">New contacts messaged (LinkedIn + email)</t>
  </si>
  <si>
    <t xml:space="preserve">Follow-ups sent</t>
  </si>
  <si>
    <t xml:space="preserve">5-10 / week</t>
  </si>
  <si>
    <t xml:space="preserve">Discovery calls booked</t>
  </si>
  <si>
    <t xml:space="preserve">2-3 / week</t>
  </si>
  <si>
    <t xml:space="preserve">Demos given</t>
  </si>
  <si>
    <t xml:space="preserve">1-2 / week</t>
  </si>
  <si>
    <t xml:space="preserve">LinkedIn posts</t>
  </si>
  <si>
    <t xml:space="preserve">2 / week</t>
  </si>
  <si>
    <t xml:space="preserve">Blog posts</t>
  </si>
  <si>
    <t xml:space="preserve">1 / fortnight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</si>
</sst>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14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8EE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C4"/>
      <rgbColor rgb="FF808080"/>
      <rgbColor rgb="FF9999FF"/>
      <rgbColor rgb="FF993366"/>
      <rgbColor rgb="FFFFFFCC"/>
      <rgbColor rgb="FFE8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21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3" t="s">
        <v>2</v>
      </c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3"/>
    </row>
    <row r="8" customFormat="false" ht="15" hidden="false" customHeight="true" outlineLevel="0" collapsed="false">
      <c r="A8" s="3" t="s">
        <v>4</v>
      </c>
    </row>
    <row r="9" customFormat="false" ht="15" hidden="false" customHeight="true" outlineLevel="0" collapsed="false">
      <c r="A9" s="3"/>
    </row>
    <row r="10" customFormat="false" ht="15" hidden="false" customHeight="true" outlineLevel="0" collapsed="false">
      <c r="A10" s="3" t="s">
        <v>5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4" t="s">
        <v>6</v>
      </c>
    </row>
    <row r="13" customFormat="false" ht="15" hidden="false" customHeight="true" outlineLevel="0" collapsed="false">
      <c r="A13" s="3" t="s">
        <v>7</v>
      </c>
    </row>
    <row r="14" customFormat="false" ht="15" hidden="false" customHeight="true" outlineLevel="0" collapsed="false">
      <c r="A14" s="3" t="s">
        <v>8</v>
      </c>
    </row>
    <row r="15" customFormat="false" ht="15" hidden="false" customHeight="true" outlineLevel="0" collapsed="false">
      <c r="A15" s="3" t="s">
        <v>9</v>
      </c>
    </row>
    <row r="16" customFormat="false" ht="15" hidden="false" customHeight="true" outlineLevel="0" collapsed="false">
      <c r="A16" s="3" t="s">
        <v>10</v>
      </c>
    </row>
    <row r="17" customFormat="false" ht="15" hidden="false" customHeight="true" outlineLevel="0" collapsed="false">
      <c r="A17" s="3" t="s">
        <v>11</v>
      </c>
    </row>
    <row r="18" customFormat="false" ht="15" hidden="false" customHeight="true" outlineLevel="0" collapsed="false">
      <c r="A18" s="3" t="s">
        <v>12</v>
      </c>
    </row>
    <row r="19" customFormat="false" ht="15" hidden="false" customHeight="true" outlineLevel="0" collapsed="false">
      <c r="A19" s="3" t="s">
        <v>13</v>
      </c>
    </row>
    <row r="20" customFormat="false" ht="15" hidden="false" customHeight="true" outlineLevel="0" collapsed="false">
      <c r="A20" s="3" t="s">
        <v>14</v>
      </c>
    </row>
    <row r="21" customFormat="false" ht="15" hidden="false" customHeight="true" outlineLevel="0" collapsed="false">
      <c r="A21" s="3" t="s">
        <v>15</v>
      </c>
    </row>
    <row r="22" customFormat="false" ht="15" hidden="false" customHeight="true" outlineLevel="0" collapsed="false">
      <c r="A22" s="3" t="s">
        <v>16</v>
      </c>
    </row>
    <row r="23" customFormat="false" ht="15" hidden="false" customHeight="true" outlineLevel="0" collapsed="false">
      <c r="A23" s="3"/>
    </row>
    <row r="24" customFormat="false" ht="15" hidden="false" customHeight="true" outlineLevel="0" collapsed="false">
      <c r="A24" s="4" t="s">
        <v>17</v>
      </c>
    </row>
    <row r="25" customFormat="false" ht="15" hidden="false" customHeight="true" outlineLevel="0" collapsed="false">
      <c r="A25" s="3" t="s">
        <v>18</v>
      </c>
    </row>
    <row r="26" customFormat="false" ht="15" hidden="false" customHeight="true" outlineLevel="0" collapsed="false">
      <c r="A26" s="3" t="s">
        <v>19</v>
      </c>
    </row>
    <row r="27" customFormat="false" ht="15" hidden="false" customHeight="true" outlineLevel="0" collapsed="false">
      <c r="A27" s="3" t="s">
        <v>20</v>
      </c>
    </row>
    <row r="28" customFormat="false" ht="15" hidden="false" customHeight="true" outlineLevel="0" collapsed="false">
      <c r="A28" s="3"/>
    </row>
    <row r="29" customFormat="false" ht="15" hidden="false" customHeight="true" outlineLevel="0" collapsed="false">
      <c r="A29" s="4" t="s">
        <v>21</v>
      </c>
    </row>
    <row r="30" customFormat="false" ht="15" hidden="false" customHeight="true" outlineLevel="0" collapsed="false">
      <c r="A30" s="3" t="s">
        <v>22</v>
      </c>
    </row>
    <row r="31" customFormat="false" ht="15" hidden="false" customHeight="true" outlineLevel="0" collapsed="false">
      <c r="A31" s="3" t="s">
        <v>23</v>
      </c>
    </row>
    <row r="32" customFormat="false" ht="15" hidden="false" customHeight="true" outlineLevel="0" collapsed="false">
      <c r="A32" s="3" t="s">
        <v>24</v>
      </c>
    </row>
    <row r="33" customFormat="false" ht="15" hidden="false" customHeight="true" outlineLevel="0" collapsed="false">
      <c r="A33" s="3"/>
    </row>
    <row r="34" customFormat="false" ht="15" hidden="false" customHeight="true" outlineLevel="0" collapsed="false">
      <c r="A34" s="4" t="s">
        <v>25</v>
      </c>
    </row>
    <row r="35" customFormat="false" ht="15" hidden="false" customHeight="true" outlineLevel="0" collapsed="false">
      <c r="A35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32"/>
    <col collapsed="false" customWidth="true" hidden="false" outlineLevel="0" max="6" min="6" style="1" width="20"/>
    <col collapsed="false" customWidth="true" hidden="false" outlineLevel="0" max="7" min="7" style="1" width="22"/>
    <col collapsed="false" customWidth="true" hidden="false" outlineLevel="0" max="8" min="8" style="1" width="32"/>
    <col collapsed="false" customWidth="true" hidden="false" outlineLevel="0" max="9" min="9" style="1" width="28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6"/>
    <col collapsed="false" customWidth="true" hidden="false" outlineLevel="0" max="14" min="13" style="1" width="14"/>
    <col collapsed="false" customWidth="true" hidden="false" outlineLevel="0" max="15" min="15" style="1" width="30"/>
    <col collapsed="false" customWidth="true" hidden="false" outlineLevel="0" max="16" min="16" style="1" width="14"/>
    <col collapsed="false" customWidth="true" hidden="false" outlineLevel="0" max="17" min="17" style="1" width="40"/>
  </cols>
  <sheetData>
    <row r="1" customFormat="false" ht="27.75" hidden="false" customHeight="true" outlineLevel="0" collapsed="false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37</v>
      </c>
      <c r="L1" s="5" t="s">
        <v>38</v>
      </c>
      <c r="M1" s="5" t="s">
        <v>39</v>
      </c>
      <c r="N1" s="5" t="s">
        <v>40</v>
      </c>
      <c r="O1" s="5" t="s">
        <v>41</v>
      </c>
      <c r="P1" s="5" t="s">
        <v>42</v>
      </c>
      <c r="Q1" s="5" t="s">
        <v>43</v>
      </c>
    </row>
    <row r="2" customFormat="false" ht="23.25" hidden="false" customHeight="true" outlineLevel="0" collapsed="false">
      <c r="A2" s="6" t="s">
        <v>44</v>
      </c>
      <c r="B2" s="6" t="s">
        <v>45</v>
      </c>
      <c r="C2" s="6" t="s">
        <v>46</v>
      </c>
      <c r="D2" s="6" t="s">
        <v>47</v>
      </c>
      <c r="E2" s="6" t="s">
        <v>48</v>
      </c>
      <c r="F2" s="6"/>
      <c r="G2" s="6"/>
      <c r="H2" s="6"/>
      <c r="I2" s="6"/>
      <c r="J2" s="6" t="s">
        <v>49</v>
      </c>
      <c r="K2" s="6" t="s">
        <v>50</v>
      </c>
      <c r="L2" s="6" t="s">
        <v>51</v>
      </c>
      <c r="M2" s="7"/>
      <c r="N2" s="7"/>
      <c r="O2" s="6" t="s">
        <v>52</v>
      </c>
      <c r="P2" s="7"/>
      <c r="Q2" s="6" t="s">
        <v>53</v>
      </c>
    </row>
    <row r="3" customFormat="false" ht="23.25" hidden="false" customHeight="true" outlineLevel="0" collapsed="false">
      <c r="A3" s="6" t="s">
        <v>54</v>
      </c>
      <c r="B3" s="6" t="s">
        <v>45</v>
      </c>
      <c r="C3" s="6" t="s">
        <v>55</v>
      </c>
      <c r="D3" s="6" t="s">
        <v>56</v>
      </c>
      <c r="E3" s="6" t="s">
        <v>57</v>
      </c>
      <c r="F3" s="6"/>
      <c r="G3" s="6"/>
      <c r="H3" s="6"/>
      <c r="I3" s="6"/>
      <c r="J3" s="6" t="s">
        <v>49</v>
      </c>
      <c r="K3" s="6" t="s">
        <v>50</v>
      </c>
      <c r="L3" s="6" t="s">
        <v>51</v>
      </c>
      <c r="M3" s="7"/>
      <c r="N3" s="7"/>
      <c r="O3" s="6" t="s">
        <v>58</v>
      </c>
      <c r="P3" s="7"/>
      <c r="Q3" s="6" t="s">
        <v>59</v>
      </c>
    </row>
    <row r="4" customFormat="false" ht="15" hidden="false" customHeight="true" outlineLevel="0" collapsed="false">
      <c r="A4" s="6" t="s">
        <v>60</v>
      </c>
      <c r="B4" s="6" t="s">
        <v>45</v>
      </c>
      <c r="C4" s="6" t="s">
        <v>61</v>
      </c>
      <c r="D4" s="6" t="s">
        <v>62</v>
      </c>
      <c r="E4" s="6" t="s">
        <v>63</v>
      </c>
      <c r="F4" s="6"/>
      <c r="G4" s="6"/>
      <c r="H4" s="6"/>
      <c r="I4" s="6"/>
      <c r="J4" s="6" t="s">
        <v>49</v>
      </c>
      <c r="K4" s="6" t="s">
        <v>50</v>
      </c>
      <c r="L4" s="6" t="s">
        <v>51</v>
      </c>
      <c r="M4" s="7"/>
      <c r="N4" s="7"/>
      <c r="O4" s="6" t="s">
        <v>64</v>
      </c>
      <c r="P4" s="7"/>
      <c r="Q4" s="6"/>
    </row>
    <row r="5" customFormat="false" ht="23.25" hidden="false" customHeight="true" outlineLevel="0" collapsed="false">
      <c r="A5" s="6" t="s">
        <v>65</v>
      </c>
      <c r="B5" s="6" t="s">
        <v>45</v>
      </c>
      <c r="C5" s="6" t="s">
        <v>66</v>
      </c>
      <c r="D5" s="6" t="s">
        <v>67</v>
      </c>
      <c r="E5" s="6" t="s">
        <v>68</v>
      </c>
      <c r="F5" s="6"/>
      <c r="G5" s="6"/>
      <c r="H5" s="6"/>
      <c r="I5" s="6"/>
      <c r="J5" s="6" t="s">
        <v>49</v>
      </c>
      <c r="K5" s="6" t="s">
        <v>50</v>
      </c>
      <c r="L5" s="6" t="s">
        <v>51</v>
      </c>
      <c r="M5" s="7"/>
      <c r="N5" s="7"/>
      <c r="O5" s="6" t="s">
        <v>69</v>
      </c>
      <c r="P5" s="7"/>
      <c r="Q5" s="6" t="s">
        <v>70</v>
      </c>
    </row>
    <row r="6" customFormat="false" ht="15" hidden="false" customHeight="true" outlineLevel="0" collapsed="false">
      <c r="A6" s="6" t="s">
        <v>71</v>
      </c>
      <c r="B6" s="6" t="s">
        <v>45</v>
      </c>
      <c r="C6" s="6" t="s">
        <v>72</v>
      </c>
      <c r="D6" s="6" t="s">
        <v>73</v>
      </c>
      <c r="E6" s="6" t="s">
        <v>74</v>
      </c>
      <c r="F6" s="6"/>
      <c r="G6" s="6"/>
      <c r="H6" s="6"/>
      <c r="I6" s="6"/>
      <c r="J6" s="6" t="s">
        <v>49</v>
      </c>
      <c r="K6" s="6" t="s">
        <v>50</v>
      </c>
      <c r="L6" s="6" t="s">
        <v>51</v>
      </c>
      <c r="M6" s="7"/>
      <c r="N6" s="7"/>
      <c r="O6" s="6"/>
      <c r="P6" s="7"/>
      <c r="Q6" s="6" t="s">
        <v>75</v>
      </c>
    </row>
    <row r="7" customFormat="false" ht="15" hidden="false" customHeight="true" outlineLevel="0" collapsed="false">
      <c r="A7" s="6" t="s">
        <v>76</v>
      </c>
      <c r="B7" s="6" t="s">
        <v>45</v>
      </c>
      <c r="C7" s="6" t="s">
        <v>77</v>
      </c>
      <c r="D7" s="6" t="s">
        <v>67</v>
      </c>
      <c r="E7" s="6" t="s">
        <v>78</v>
      </c>
      <c r="F7" s="6"/>
      <c r="G7" s="6"/>
      <c r="H7" s="6"/>
      <c r="I7" s="6"/>
      <c r="J7" s="6" t="s">
        <v>49</v>
      </c>
      <c r="K7" s="6" t="s">
        <v>50</v>
      </c>
      <c r="L7" s="6" t="s">
        <v>51</v>
      </c>
      <c r="M7" s="7"/>
      <c r="N7" s="7"/>
      <c r="O7" s="6"/>
      <c r="P7" s="7"/>
      <c r="Q7" s="6"/>
    </row>
    <row r="8" customFormat="false" ht="15" hidden="false" customHeight="true" outlineLevel="0" collapsed="false">
      <c r="A8" s="6" t="s">
        <v>79</v>
      </c>
      <c r="B8" s="6" t="s">
        <v>45</v>
      </c>
      <c r="C8" s="6" t="s">
        <v>80</v>
      </c>
      <c r="D8" s="6" t="s">
        <v>67</v>
      </c>
      <c r="E8" s="6" t="s">
        <v>81</v>
      </c>
      <c r="F8" s="6"/>
      <c r="G8" s="6"/>
      <c r="H8" s="6"/>
      <c r="I8" s="6"/>
      <c r="J8" s="6" t="s">
        <v>49</v>
      </c>
      <c r="K8" s="6" t="s">
        <v>82</v>
      </c>
      <c r="L8" s="6" t="s">
        <v>51</v>
      </c>
      <c r="M8" s="7"/>
      <c r="N8" s="7"/>
      <c r="O8" s="6"/>
      <c r="P8" s="7"/>
      <c r="Q8" s="6"/>
    </row>
    <row r="9" customFormat="false" ht="23.25" hidden="false" customHeight="true" outlineLevel="0" collapsed="false">
      <c r="A9" s="6" t="s">
        <v>83</v>
      </c>
      <c r="B9" s="6" t="s">
        <v>84</v>
      </c>
      <c r="C9" s="6" t="s">
        <v>85</v>
      </c>
      <c r="D9" s="6" t="s">
        <v>86</v>
      </c>
      <c r="E9" s="6" t="s">
        <v>87</v>
      </c>
      <c r="F9" s="6"/>
      <c r="G9" s="6"/>
      <c r="H9" s="6"/>
      <c r="I9" s="6"/>
      <c r="J9" s="6" t="s">
        <v>49</v>
      </c>
      <c r="K9" s="6" t="s">
        <v>82</v>
      </c>
      <c r="L9" s="6" t="s">
        <v>51</v>
      </c>
      <c r="M9" s="7"/>
      <c r="N9" s="7"/>
      <c r="O9" s="6"/>
      <c r="P9" s="7"/>
      <c r="Q9" s="6"/>
    </row>
    <row r="10" customFormat="false" ht="15" hidden="false" customHeight="true" outlineLevel="0" collapsed="false">
      <c r="A10" s="6" t="s">
        <v>88</v>
      </c>
      <c r="B10" s="6" t="s">
        <v>45</v>
      </c>
      <c r="C10" s="6" t="s">
        <v>61</v>
      </c>
      <c r="D10" s="6" t="s">
        <v>67</v>
      </c>
      <c r="E10" s="6" t="s">
        <v>89</v>
      </c>
      <c r="F10" s="6"/>
      <c r="G10" s="6"/>
      <c r="H10" s="6"/>
      <c r="I10" s="6"/>
      <c r="J10" s="6" t="s">
        <v>49</v>
      </c>
      <c r="K10" s="6" t="s">
        <v>82</v>
      </c>
      <c r="L10" s="6" t="s">
        <v>51</v>
      </c>
      <c r="M10" s="7"/>
      <c r="N10" s="7"/>
      <c r="O10" s="6"/>
      <c r="P10" s="7"/>
      <c r="Q10" s="6"/>
    </row>
    <row r="11" customFormat="false" ht="15" hidden="false" customHeight="true" outlineLevel="0" collapsed="false">
      <c r="A11" s="6" t="s">
        <v>90</v>
      </c>
      <c r="B11" s="6" t="s">
        <v>45</v>
      </c>
      <c r="C11" s="6" t="s">
        <v>61</v>
      </c>
      <c r="D11" s="6" t="s">
        <v>67</v>
      </c>
      <c r="E11" s="6" t="s">
        <v>91</v>
      </c>
      <c r="F11" s="6"/>
      <c r="G11" s="6"/>
      <c r="H11" s="6"/>
      <c r="I11" s="6"/>
      <c r="J11" s="6" t="s">
        <v>49</v>
      </c>
      <c r="K11" s="6" t="s">
        <v>82</v>
      </c>
      <c r="L11" s="6" t="s">
        <v>51</v>
      </c>
      <c r="M11" s="7"/>
      <c r="N11" s="7"/>
      <c r="O11" s="6"/>
      <c r="P11" s="7"/>
      <c r="Q11" s="6" t="s">
        <v>92</v>
      </c>
    </row>
    <row r="12" customFormat="false" ht="15" hidden="false" customHeight="true" outlineLevel="0" collapsed="false">
      <c r="A12" s="6" t="s">
        <v>93</v>
      </c>
      <c r="B12" s="6" t="s">
        <v>45</v>
      </c>
      <c r="C12" s="6" t="s">
        <v>94</v>
      </c>
      <c r="D12" s="6" t="s">
        <v>95</v>
      </c>
      <c r="E12" s="6" t="s">
        <v>96</v>
      </c>
      <c r="F12" s="6"/>
      <c r="G12" s="6"/>
      <c r="H12" s="6"/>
      <c r="I12" s="6"/>
      <c r="J12" s="6" t="s">
        <v>49</v>
      </c>
      <c r="K12" s="6" t="s">
        <v>82</v>
      </c>
      <c r="L12" s="6" t="s">
        <v>51</v>
      </c>
      <c r="M12" s="7"/>
      <c r="N12" s="7"/>
      <c r="O12" s="6"/>
      <c r="P12" s="7"/>
      <c r="Q12" s="6"/>
    </row>
    <row r="13" customFormat="false" ht="23.25" hidden="false" customHeight="true" outlineLevel="0" collapsed="false">
      <c r="A13" s="6" t="s">
        <v>97</v>
      </c>
      <c r="B13" s="6" t="s">
        <v>98</v>
      </c>
      <c r="C13" s="6" t="s">
        <v>99</v>
      </c>
      <c r="D13" s="6" t="s">
        <v>100</v>
      </c>
      <c r="E13" s="6" t="s">
        <v>101</v>
      </c>
      <c r="F13" s="6"/>
      <c r="G13" s="6"/>
      <c r="H13" s="6"/>
      <c r="I13" s="6"/>
      <c r="J13" s="6" t="s">
        <v>49</v>
      </c>
      <c r="K13" s="6" t="s">
        <v>82</v>
      </c>
      <c r="L13" s="6" t="s">
        <v>51</v>
      </c>
      <c r="M13" s="7"/>
      <c r="N13" s="7"/>
      <c r="O13" s="6"/>
      <c r="P13" s="7"/>
      <c r="Q13" s="6" t="s">
        <v>102</v>
      </c>
    </row>
    <row r="14" customFormat="false" ht="23.25" hidden="false" customHeight="true" outlineLevel="0" collapsed="false">
      <c r="A14" s="6" t="s">
        <v>103</v>
      </c>
      <c r="B14" s="6" t="s">
        <v>84</v>
      </c>
      <c r="C14" s="6" t="s">
        <v>104</v>
      </c>
      <c r="D14" s="6" t="s">
        <v>105</v>
      </c>
      <c r="E14" s="6" t="s">
        <v>106</v>
      </c>
      <c r="F14" s="6"/>
      <c r="G14" s="6"/>
      <c r="H14" s="6"/>
      <c r="I14" s="6"/>
      <c r="J14" s="6" t="s">
        <v>49</v>
      </c>
      <c r="K14" s="6" t="s">
        <v>82</v>
      </c>
      <c r="L14" s="6" t="s">
        <v>51</v>
      </c>
      <c r="M14" s="7"/>
      <c r="N14" s="7"/>
      <c r="O14" s="6"/>
      <c r="P14" s="7"/>
      <c r="Q14" s="6" t="s">
        <v>107</v>
      </c>
    </row>
    <row r="15" customFormat="false" ht="15" hidden="false" customHeight="true" outlineLevel="0" collapsed="false">
      <c r="A15" s="6" t="s">
        <v>108</v>
      </c>
      <c r="B15" s="6" t="s">
        <v>109</v>
      </c>
      <c r="C15" s="6" t="s">
        <v>110</v>
      </c>
      <c r="D15" s="6" t="s">
        <v>111</v>
      </c>
      <c r="E15" s="6" t="s">
        <v>112</v>
      </c>
      <c r="F15" s="6"/>
      <c r="G15" s="6"/>
      <c r="H15" s="6"/>
      <c r="I15" s="6"/>
      <c r="J15" s="6" t="s">
        <v>49</v>
      </c>
      <c r="K15" s="6" t="s">
        <v>113</v>
      </c>
      <c r="L15" s="6" t="s">
        <v>51</v>
      </c>
      <c r="M15" s="7"/>
      <c r="N15" s="7"/>
      <c r="O15" s="6"/>
      <c r="P15" s="7"/>
      <c r="Q15" s="6" t="s">
        <v>114</v>
      </c>
    </row>
    <row r="16" customFormat="false" ht="15" hidden="false" customHeight="true" outlineLevel="0" collapsed="false">
      <c r="A16" s="6" t="s">
        <v>115</v>
      </c>
      <c r="B16" s="6" t="s">
        <v>116</v>
      </c>
      <c r="C16" s="6" t="s">
        <v>117</v>
      </c>
      <c r="D16" s="6" t="s">
        <v>67</v>
      </c>
      <c r="E16" s="6" t="s">
        <v>118</v>
      </c>
      <c r="F16" s="6"/>
      <c r="G16" s="6"/>
      <c r="H16" s="6"/>
      <c r="I16" s="6"/>
      <c r="J16" s="6" t="s">
        <v>49</v>
      </c>
      <c r="K16" s="6" t="s">
        <v>113</v>
      </c>
      <c r="L16" s="6" t="s">
        <v>51</v>
      </c>
      <c r="M16" s="7"/>
      <c r="N16" s="7"/>
      <c r="O16" s="6"/>
      <c r="P16" s="7"/>
      <c r="Q16" s="6" t="s">
        <v>119</v>
      </c>
    </row>
    <row r="17" customFormat="false" ht="15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7"/>
      <c r="N17" s="7"/>
      <c r="O17" s="6"/>
      <c r="P17" s="7"/>
      <c r="Q17" s="6"/>
    </row>
    <row r="18" customFormat="false" ht="1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7"/>
      <c r="N18" s="7"/>
      <c r="O18" s="6"/>
      <c r="P18" s="7"/>
      <c r="Q18" s="6"/>
    </row>
    <row r="19" customFormat="false" ht="1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7"/>
      <c r="N19" s="7"/>
      <c r="O19" s="6"/>
      <c r="P19" s="7"/>
      <c r="Q19" s="6"/>
    </row>
    <row r="20" customFormat="false" ht="1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7"/>
      <c r="N20" s="7"/>
      <c r="O20" s="6"/>
      <c r="P20" s="7"/>
      <c r="Q20" s="6"/>
    </row>
    <row r="21" customFormat="false" ht="1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7"/>
      <c r="N21" s="7"/>
      <c r="O21" s="6"/>
      <c r="P21" s="7"/>
      <c r="Q21" s="6"/>
    </row>
  </sheetData>
  <autoFilter ref="A1:Q21"/>
  <dataValidations count="2">
    <dataValidation allowBlank="true" errorStyle="stop" operator="between" showDropDown="false" showErrorMessage="false" showInputMessage="false" sqref="L2:L21" type="list">
      <formula1>"Research,Ready to contact,Contacted,Replied,Call booked,Demo given,Trial,Closed — Won,Closed — Lost,Nurture"</formula1>
      <formula2>0</formula2>
    </dataValidation>
    <dataValidation allowBlank="true" errorStyle="stop" operator="between" showDropDown="false" showErrorMessage="false" showInputMessage="false" sqref="K2:K21" type="list">
      <formula1>"A,B,C"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32"/>
    <col collapsed="false" customWidth="true" hidden="false" outlineLevel="0" max="6" min="6" style="1" width="20"/>
    <col collapsed="false" customWidth="true" hidden="false" outlineLevel="0" max="7" min="7" style="1" width="22"/>
    <col collapsed="false" customWidth="true" hidden="false" outlineLevel="0" max="8" min="8" style="1" width="28"/>
    <col collapsed="false" customWidth="true" hidden="false" outlineLevel="0" max="9" min="9" style="1" width="26"/>
    <col collapsed="false" customWidth="true" hidden="false" outlineLevel="0" max="10" min="10" style="1" width="16"/>
    <col collapsed="false" customWidth="true" hidden="false" outlineLevel="0" max="11" min="11" style="1" width="9"/>
    <col collapsed="false" customWidth="true" hidden="false" outlineLevel="0" max="12" min="12" style="1" width="16"/>
    <col collapsed="false" customWidth="true" hidden="false" outlineLevel="0" max="14" min="13" style="1" width="14"/>
    <col collapsed="false" customWidth="true" hidden="false" outlineLevel="0" max="15" min="15" style="1" width="30"/>
    <col collapsed="false" customWidth="true" hidden="false" outlineLevel="0" max="16" min="16" style="1" width="14"/>
    <col collapsed="false" customWidth="true" hidden="false" outlineLevel="0" max="17" min="17" style="1" width="50"/>
  </cols>
  <sheetData>
    <row r="1" customFormat="false" ht="17.25" hidden="false" customHeight="true" outlineLevel="0" collapsed="false">
      <c r="A1" s="8" t="s">
        <v>120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customFormat="false" ht="57.75" hidden="false" customHeight="true" outlineLevel="0" collapsed="false">
      <c r="A2" s="9" t="s">
        <v>121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4" customFormat="false" ht="27.75" hidden="false" customHeight="true" outlineLevel="0" collapsed="false">
      <c r="A4" s="5" t="s">
        <v>27</v>
      </c>
      <c r="B4" s="5" t="s">
        <v>122</v>
      </c>
      <c r="C4" s="5" t="s">
        <v>29</v>
      </c>
      <c r="D4" s="5" t="s">
        <v>123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35</v>
      </c>
      <c r="J4" s="5" t="s">
        <v>36</v>
      </c>
      <c r="K4" s="5" t="s">
        <v>37</v>
      </c>
      <c r="L4" s="5" t="s">
        <v>38</v>
      </c>
      <c r="M4" s="5" t="s">
        <v>39</v>
      </c>
      <c r="N4" s="5" t="s">
        <v>40</v>
      </c>
      <c r="O4" s="5" t="s">
        <v>41</v>
      </c>
      <c r="P4" s="5" t="s">
        <v>42</v>
      </c>
      <c r="Q4" s="5" t="s">
        <v>43</v>
      </c>
    </row>
    <row r="5" customFormat="false" ht="15" hidden="false" customHeight="true" outlineLevel="0" collapsed="false">
      <c r="A5" s="10" t="s">
        <v>124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customFormat="false" ht="34.5" hidden="false" customHeight="true" outlineLevel="0" collapsed="false">
      <c r="A6" s="11" t="s">
        <v>125</v>
      </c>
      <c r="B6" s="11" t="s">
        <v>126</v>
      </c>
      <c r="C6" s="11" t="s">
        <v>127</v>
      </c>
      <c r="D6" s="11" t="s">
        <v>128</v>
      </c>
      <c r="E6" s="11" t="s">
        <v>129</v>
      </c>
      <c r="F6" s="11"/>
      <c r="G6" s="11" t="s">
        <v>130</v>
      </c>
      <c r="H6" s="11"/>
      <c r="I6" s="11"/>
      <c r="J6" s="11" t="s">
        <v>131</v>
      </c>
      <c r="K6" s="11" t="s">
        <v>50</v>
      </c>
      <c r="L6" s="11" t="s">
        <v>132</v>
      </c>
      <c r="M6" s="12" t="n">
        <v>46132</v>
      </c>
      <c r="N6" s="12" t="n">
        <v>46132</v>
      </c>
      <c r="O6" s="11" t="s">
        <v>133</v>
      </c>
      <c r="P6" s="12" t="n">
        <v>46143</v>
      </c>
      <c r="Q6" s="11" t="s">
        <v>134</v>
      </c>
    </row>
    <row r="7" customFormat="false" ht="23.25" hidden="false" customHeight="true" outlineLevel="0" collapsed="false">
      <c r="A7" s="11" t="s">
        <v>135</v>
      </c>
      <c r="B7" s="11" t="s">
        <v>136</v>
      </c>
      <c r="C7" s="11" t="s">
        <v>137</v>
      </c>
      <c r="D7" s="11" t="s">
        <v>138</v>
      </c>
      <c r="E7" s="11" t="s">
        <v>139</v>
      </c>
      <c r="F7" s="11"/>
      <c r="G7" s="11" t="s">
        <v>140</v>
      </c>
      <c r="H7" s="11"/>
      <c r="I7" s="11"/>
      <c r="J7" s="11" t="s">
        <v>51</v>
      </c>
      <c r="K7" s="11" t="s">
        <v>82</v>
      </c>
      <c r="L7" s="11" t="s">
        <v>51</v>
      </c>
      <c r="M7" s="12"/>
      <c r="N7" s="12"/>
      <c r="O7" s="11" t="s">
        <v>141</v>
      </c>
      <c r="P7" s="12"/>
      <c r="Q7" s="11" t="s">
        <v>142</v>
      </c>
    </row>
    <row r="8" customFormat="false" ht="23.25" hidden="false" customHeight="true" outlineLevel="0" collapsed="false">
      <c r="A8" s="11" t="s">
        <v>143</v>
      </c>
      <c r="B8" s="11" t="s">
        <v>126</v>
      </c>
      <c r="C8" s="11" t="s">
        <v>144</v>
      </c>
      <c r="D8" s="11" t="s">
        <v>145</v>
      </c>
      <c r="E8" s="11" t="s">
        <v>146</v>
      </c>
      <c r="F8" s="11"/>
      <c r="G8" s="11" t="s">
        <v>147</v>
      </c>
      <c r="H8" s="11"/>
      <c r="I8" s="11"/>
      <c r="J8" s="11" t="s">
        <v>51</v>
      </c>
      <c r="K8" s="11" t="s">
        <v>50</v>
      </c>
      <c r="L8" s="11" t="s">
        <v>51</v>
      </c>
      <c r="M8" s="12"/>
      <c r="N8" s="12"/>
      <c r="O8" s="11"/>
      <c r="P8" s="12"/>
      <c r="Q8" s="11" t="s">
        <v>148</v>
      </c>
    </row>
    <row r="9" customFormat="false" ht="15" hidden="false" customHeight="true" outlineLevel="0" collapsed="false">
      <c r="A9" s="11" t="s">
        <v>149</v>
      </c>
      <c r="B9" s="11" t="s">
        <v>126</v>
      </c>
      <c r="C9" s="11" t="s">
        <v>150</v>
      </c>
      <c r="D9" s="11" t="s">
        <v>151</v>
      </c>
      <c r="E9" s="11" t="s">
        <v>152</v>
      </c>
      <c r="F9" s="11"/>
      <c r="G9" s="11" t="s">
        <v>153</v>
      </c>
      <c r="H9" s="11"/>
      <c r="I9" s="11"/>
      <c r="J9" s="11" t="s">
        <v>51</v>
      </c>
      <c r="K9" s="11" t="s">
        <v>82</v>
      </c>
      <c r="L9" s="11" t="s">
        <v>51</v>
      </c>
      <c r="M9" s="12"/>
      <c r="N9" s="12"/>
      <c r="O9" s="11"/>
      <c r="P9" s="12"/>
      <c r="Q9" s="11" t="s">
        <v>154</v>
      </c>
    </row>
    <row r="10" customFormat="false" ht="23.25" hidden="false" customHeight="true" outlineLevel="0" collapsed="false">
      <c r="A10" s="11" t="s">
        <v>155</v>
      </c>
      <c r="B10" s="11" t="s">
        <v>126</v>
      </c>
      <c r="C10" s="11" t="s">
        <v>156</v>
      </c>
      <c r="D10" s="11" t="s">
        <v>151</v>
      </c>
      <c r="E10" s="11" t="s">
        <v>157</v>
      </c>
      <c r="F10" s="11"/>
      <c r="G10" s="11" t="s">
        <v>153</v>
      </c>
      <c r="H10" s="11"/>
      <c r="I10" s="11"/>
      <c r="J10" s="11" t="s">
        <v>51</v>
      </c>
      <c r="K10" s="11" t="s">
        <v>82</v>
      </c>
      <c r="L10" s="11" t="s">
        <v>51</v>
      </c>
      <c r="M10" s="12"/>
      <c r="N10" s="12"/>
      <c r="O10" s="11"/>
      <c r="P10" s="12"/>
      <c r="Q10" s="11" t="s">
        <v>158</v>
      </c>
    </row>
    <row r="11" customFormat="false" ht="15" hidden="false" customHeight="true" outlineLevel="0" collapsed="false">
      <c r="A11" s="11" t="s">
        <v>159</v>
      </c>
      <c r="B11" s="11" t="s">
        <v>126</v>
      </c>
      <c r="C11" s="11" t="s">
        <v>160</v>
      </c>
      <c r="D11" s="11" t="s">
        <v>151</v>
      </c>
      <c r="E11" s="11" t="s">
        <v>161</v>
      </c>
      <c r="F11" s="11"/>
      <c r="G11" s="11" t="s">
        <v>153</v>
      </c>
      <c r="H11" s="11"/>
      <c r="I11" s="11"/>
      <c r="J11" s="11" t="s">
        <v>51</v>
      </c>
      <c r="K11" s="11" t="s">
        <v>113</v>
      </c>
      <c r="L11" s="11" t="s">
        <v>51</v>
      </c>
      <c r="M11" s="12"/>
      <c r="N11" s="12"/>
      <c r="O11" s="11"/>
      <c r="P11" s="12"/>
      <c r="Q11" s="11" t="s">
        <v>162</v>
      </c>
    </row>
    <row r="12" customFormat="false" ht="23.25" hidden="false" customHeight="true" outlineLevel="0" collapsed="false">
      <c r="A12" s="11" t="s">
        <v>163</v>
      </c>
      <c r="B12" s="11" t="s">
        <v>164</v>
      </c>
      <c r="C12" s="11" t="s">
        <v>165</v>
      </c>
      <c r="D12" s="11" t="s">
        <v>145</v>
      </c>
      <c r="E12" s="11" t="s">
        <v>166</v>
      </c>
      <c r="F12" s="11"/>
      <c r="G12" s="11" t="s">
        <v>167</v>
      </c>
      <c r="H12" s="11"/>
      <c r="I12" s="11"/>
      <c r="J12" s="11" t="s">
        <v>51</v>
      </c>
      <c r="K12" s="11" t="s">
        <v>82</v>
      </c>
      <c r="L12" s="11" t="s">
        <v>51</v>
      </c>
      <c r="M12" s="12"/>
      <c r="N12" s="12"/>
      <c r="O12" s="11"/>
      <c r="P12" s="12"/>
      <c r="Q12" s="11" t="s">
        <v>168</v>
      </c>
    </row>
    <row r="13" customFormat="false" ht="23.25" hidden="false" customHeight="true" outlineLevel="0" collapsed="false">
      <c r="A13" s="11" t="s">
        <v>169</v>
      </c>
      <c r="B13" s="11" t="s">
        <v>170</v>
      </c>
      <c r="C13" s="11" t="s">
        <v>127</v>
      </c>
      <c r="D13" s="11" t="s">
        <v>171</v>
      </c>
      <c r="E13" s="11" t="s">
        <v>172</v>
      </c>
      <c r="F13" s="11"/>
      <c r="G13" s="11" t="s">
        <v>173</v>
      </c>
      <c r="H13" s="11"/>
      <c r="I13" s="11"/>
      <c r="J13" s="11" t="s">
        <v>49</v>
      </c>
      <c r="K13" s="11" t="s">
        <v>50</v>
      </c>
      <c r="L13" s="11" t="s">
        <v>51</v>
      </c>
      <c r="M13" s="12"/>
      <c r="N13" s="12"/>
      <c r="O13" s="11" t="s">
        <v>174</v>
      </c>
      <c r="P13" s="12"/>
      <c r="Q13" s="11" t="s">
        <v>175</v>
      </c>
    </row>
    <row r="14" customFormat="false" ht="23.25" hidden="false" customHeight="true" outlineLevel="0" collapsed="false">
      <c r="A14" s="11" t="s">
        <v>176</v>
      </c>
      <c r="B14" s="11" t="s">
        <v>177</v>
      </c>
      <c r="C14" s="11" t="s">
        <v>178</v>
      </c>
      <c r="D14" s="11" t="s">
        <v>179</v>
      </c>
      <c r="E14" s="11" t="s">
        <v>180</v>
      </c>
      <c r="F14" s="11"/>
      <c r="G14" s="11" t="s">
        <v>181</v>
      </c>
      <c r="H14" s="11"/>
      <c r="I14" s="11"/>
      <c r="J14" s="11" t="s">
        <v>51</v>
      </c>
      <c r="K14" s="11" t="s">
        <v>82</v>
      </c>
      <c r="L14" s="11" t="s">
        <v>51</v>
      </c>
      <c r="M14" s="12"/>
      <c r="N14" s="12"/>
      <c r="O14" s="11"/>
      <c r="P14" s="12"/>
      <c r="Q14" s="11" t="s">
        <v>182</v>
      </c>
    </row>
    <row r="15" customFormat="false" ht="15" hidden="false" customHeight="true" outlineLevel="0" collapsed="false">
      <c r="A15" s="11" t="s">
        <v>183</v>
      </c>
      <c r="B15" s="11" t="s">
        <v>184</v>
      </c>
      <c r="C15" s="11" t="s">
        <v>185</v>
      </c>
      <c r="D15" s="11" t="s">
        <v>186</v>
      </c>
      <c r="E15" s="11" t="s">
        <v>187</v>
      </c>
      <c r="F15" s="11"/>
      <c r="G15" s="11" t="s">
        <v>188</v>
      </c>
      <c r="H15" s="11"/>
      <c r="I15" s="11"/>
      <c r="J15" s="11" t="s">
        <v>51</v>
      </c>
      <c r="K15" s="11" t="s">
        <v>113</v>
      </c>
      <c r="L15" s="11" t="s">
        <v>51</v>
      </c>
      <c r="M15" s="12"/>
      <c r="N15" s="12"/>
      <c r="O15" s="11"/>
      <c r="P15" s="12"/>
      <c r="Q15" s="11" t="s">
        <v>189</v>
      </c>
    </row>
    <row r="16" customFormat="false" ht="23.25" hidden="false" customHeight="true" outlineLevel="0" collapsed="false">
      <c r="A16" s="11" t="s">
        <v>190</v>
      </c>
      <c r="B16" s="11" t="s">
        <v>191</v>
      </c>
      <c r="C16" s="11" t="s">
        <v>192</v>
      </c>
      <c r="D16" s="11" t="s">
        <v>193</v>
      </c>
      <c r="E16" s="11" t="s">
        <v>194</v>
      </c>
      <c r="F16" s="11"/>
      <c r="G16" s="11" t="s">
        <v>195</v>
      </c>
      <c r="H16" s="11"/>
      <c r="I16" s="11"/>
      <c r="J16" s="11" t="s">
        <v>49</v>
      </c>
      <c r="K16" s="11" t="s">
        <v>82</v>
      </c>
      <c r="L16" s="11" t="s">
        <v>51</v>
      </c>
      <c r="M16" s="12"/>
      <c r="N16" s="12"/>
      <c r="O16" s="11"/>
      <c r="P16" s="12"/>
      <c r="Q16" s="11" t="s">
        <v>196</v>
      </c>
    </row>
    <row r="17" customFormat="false" ht="23.25" hidden="false" customHeight="true" outlineLevel="0" collapsed="false">
      <c r="A17" s="11" t="s">
        <v>197</v>
      </c>
      <c r="B17" s="11" t="s">
        <v>198</v>
      </c>
      <c r="C17" s="11" t="s">
        <v>199</v>
      </c>
      <c r="D17" s="11" t="s">
        <v>200</v>
      </c>
      <c r="E17" s="11" t="s">
        <v>201</v>
      </c>
      <c r="F17" s="11"/>
      <c r="G17" s="11" t="s">
        <v>202</v>
      </c>
      <c r="H17" s="11"/>
      <c r="I17" s="11"/>
      <c r="J17" s="11" t="s">
        <v>51</v>
      </c>
      <c r="K17" s="11" t="s">
        <v>113</v>
      </c>
      <c r="L17" s="11" t="s">
        <v>51</v>
      </c>
      <c r="M17" s="12"/>
      <c r="N17" s="12"/>
      <c r="O17" s="11"/>
      <c r="P17" s="12"/>
      <c r="Q17" s="11" t="s">
        <v>203</v>
      </c>
    </row>
    <row r="18" customFormat="false" ht="23.25" hidden="false" customHeight="true" outlineLevel="0" collapsed="false">
      <c r="A18" s="11" t="s">
        <v>204</v>
      </c>
      <c r="B18" s="11" t="s">
        <v>205</v>
      </c>
      <c r="C18" s="11" t="s">
        <v>206</v>
      </c>
      <c r="D18" s="11" t="s">
        <v>207</v>
      </c>
      <c r="E18" s="11" t="s">
        <v>208</v>
      </c>
      <c r="F18" s="11"/>
      <c r="G18" s="11" t="s">
        <v>209</v>
      </c>
      <c r="H18" s="11"/>
      <c r="I18" s="11"/>
      <c r="J18" s="11" t="s">
        <v>51</v>
      </c>
      <c r="K18" s="11" t="s">
        <v>113</v>
      </c>
      <c r="L18" s="11" t="s">
        <v>51</v>
      </c>
      <c r="M18" s="12"/>
      <c r="N18" s="12"/>
      <c r="O18" s="11"/>
      <c r="P18" s="12"/>
      <c r="Q18" s="11" t="s">
        <v>210</v>
      </c>
    </row>
    <row r="19" customFormat="false" ht="15" hidden="false" customHeight="true" outlineLevel="0" collapsed="false">
      <c r="A19" s="11" t="s">
        <v>211</v>
      </c>
      <c r="B19" s="11" t="s">
        <v>212</v>
      </c>
      <c r="C19" s="11" t="s">
        <v>213</v>
      </c>
      <c r="D19" s="11" t="s">
        <v>214</v>
      </c>
      <c r="E19" s="11" t="s">
        <v>215</v>
      </c>
      <c r="F19" s="11"/>
      <c r="G19" s="11" t="s">
        <v>216</v>
      </c>
      <c r="H19" s="11"/>
      <c r="I19" s="11"/>
      <c r="J19" s="11" t="s">
        <v>51</v>
      </c>
      <c r="K19" s="11" t="s">
        <v>82</v>
      </c>
      <c r="L19" s="11" t="s">
        <v>51</v>
      </c>
      <c r="M19" s="12"/>
      <c r="N19" s="12"/>
      <c r="O19" s="11"/>
      <c r="P19" s="12"/>
      <c r="Q19" s="11" t="s">
        <v>217</v>
      </c>
    </row>
    <row r="20" customFormat="false" ht="15" hidden="false" customHeight="true" outlineLevel="0" collapsed="false">
      <c r="A20" s="11" t="s">
        <v>218</v>
      </c>
      <c r="B20" s="11" t="s">
        <v>219</v>
      </c>
      <c r="C20" s="11" t="s">
        <v>220</v>
      </c>
      <c r="D20" s="11" t="s">
        <v>221</v>
      </c>
      <c r="E20" s="11" t="s">
        <v>222</v>
      </c>
      <c r="F20" s="11"/>
      <c r="G20" s="11" t="s">
        <v>223</v>
      </c>
      <c r="H20" s="11"/>
      <c r="I20" s="11"/>
      <c r="J20" s="11" t="s">
        <v>51</v>
      </c>
      <c r="K20" s="11" t="s">
        <v>82</v>
      </c>
      <c r="L20" s="11" t="s">
        <v>51</v>
      </c>
      <c r="M20" s="12"/>
      <c r="N20" s="12"/>
      <c r="O20" s="11"/>
      <c r="P20" s="12"/>
      <c r="Q20" s="11" t="s">
        <v>224</v>
      </c>
    </row>
    <row r="21" customFormat="false" ht="23.25" hidden="false" customHeight="true" outlineLevel="0" collapsed="false">
      <c r="A21" s="11" t="s">
        <v>225</v>
      </c>
      <c r="B21" s="11" t="s">
        <v>226</v>
      </c>
      <c r="C21" s="11" t="s">
        <v>127</v>
      </c>
      <c r="D21" s="11" t="s">
        <v>227</v>
      </c>
      <c r="E21" s="11" t="s">
        <v>228</v>
      </c>
      <c r="F21" s="11"/>
      <c r="G21" s="11" t="s">
        <v>229</v>
      </c>
      <c r="H21" s="11"/>
      <c r="I21" s="11"/>
      <c r="J21" s="11" t="s">
        <v>51</v>
      </c>
      <c r="K21" s="11" t="s">
        <v>82</v>
      </c>
      <c r="L21" s="11" t="s">
        <v>51</v>
      </c>
      <c r="M21" s="12"/>
      <c r="N21" s="12"/>
      <c r="O21" s="11" t="s">
        <v>230</v>
      </c>
      <c r="P21" s="12"/>
      <c r="Q21" s="11" t="s">
        <v>231</v>
      </c>
    </row>
    <row r="22" customFormat="false" ht="15" hidden="false" customHeight="true" outlineLevel="0" collapsed="false">
      <c r="A22" s="10" t="s">
        <v>232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customFormat="false" ht="23.25" hidden="false" customHeight="true" outlineLevel="0" collapsed="false">
      <c r="A23" s="11" t="s">
        <v>233</v>
      </c>
      <c r="B23" s="11" t="s">
        <v>234</v>
      </c>
      <c r="C23" s="11" t="s">
        <v>235</v>
      </c>
      <c r="D23" s="11" t="s">
        <v>236</v>
      </c>
      <c r="E23" s="11" t="s">
        <v>237</v>
      </c>
      <c r="F23" s="11"/>
      <c r="G23" s="11" t="s">
        <v>188</v>
      </c>
      <c r="H23" s="11"/>
      <c r="I23" s="11"/>
      <c r="J23" s="11" t="s">
        <v>49</v>
      </c>
      <c r="K23" s="11" t="s">
        <v>82</v>
      </c>
      <c r="L23" s="11" t="s">
        <v>51</v>
      </c>
      <c r="M23" s="12"/>
      <c r="N23" s="12"/>
      <c r="O23" s="11"/>
      <c r="P23" s="12"/>
      <c r="Q23" s="11" t="s">
        <v>238</v>
      </c>
    </row>
    <row r="24" customFormat="false" ht="23.25" hidden="false" customHeight="true" outlineLevel="0" collapsed="false">
      <c r="A24" s="11" t="s">
        <v>239</v>
      </c>
      <c r="B24" s="11" t="s">
        <v>240</v>
      </c>
      <c r="C24" s="11" t="s">
        <v>241</v>
      </c>
      <c r="D24" s="11" t="s">
        <v>242</v>
      </c>
      <c r="E24" s="11" t="s">
        <v>243</v>
      </c>
      <c r="F24" s="11"/>
      <c r="G24" s="11" t="s">
        <v>188</v>
      </c>
      <c r="H24" s="11"/>
      <c r="I24" s="11"/>
      <c r="J24" s="11" t="s">
        <v>49</v>
      </c>
      <c r="K24" s="11" t="s">
        <v>82</v>
      </c>
      <c r="L24" s="11" t="s">
        <v>51</v>
      </c>
      <c r="M24" s="12"/>
      <c r="N24" s="12"/>
      <c r="O24" s="11"/>
      <c r="P24" s="12"/>
      <c r="Q24" s="11" t="s">
        <v>244</v>
      </c>
    </row>
    <row r="25" customFormat="false" ht="23.25" hidden="false" customHeight="true" outlineLevel="0" collapsed="false">
      <c r="A25" s="11" t="s">
        <v>245</v>
      </c>
      <c r="B25" s="11" t="s">
        <v>246</v>
      </c>
      <c r="C25" s="11" t="s">
        <v>247</v>
      </c>
      <c r="D25" s="11" t="s">
        <v>248</v>
      </c>
      <c r="E25" s="11" t="s">
        <v>249</v>
      </c>
      <c r="F25" s="11"/>
      <c r="G25" s="11" t="s">
        <v>250</v>
      </c>
      <c r="H25" s="11"/>
      <c r="I25" s="11"/>
      <c r="J25" s="11" t="s">
        <v>49</v>
      </c>
      <c r="K25" s="11" t="s">
        <v>113</v>
      </c>
      <c r="L25" s="11" t="s">
        <v>51</v>
      </c>
      <c r="M25" s="12"/>
      <c r="N25" s="12"/>
      <c r="O25" s="11"/>
      <c r="P25" s="12"/>
      <c r="Q25" s="11" t="s">
        <v>251</v>
      </c>
    </row>
    <row r="26" customFormat="false" ht="23.25" hidden="false" customHeight="true" outlineLevel="0" collapsed="false">
      <c r="A26" s="11" t="s">
        <v>252</v>
      </c>
      <c r="B26" s="11" t="s">
        <v>253</v>
      </c>
      <c r="C26" s="11" t="s">
        <v>247</v>
      </c>
      <c r="D26" s="11" t="s">
        <v>254</v>
      </c>
      <c r="E26" s="11" t="s">
        <v>255</v>
      </c>
      <c r="F26" s="11"/>
      <c r="G26" s="11" t="s">
        <v>188</v>
      </c>
      <c r="H26" s="11"/>
      <c r="I26" s="11"/>
      <c r="J26" s="11" t="s">
        <v>49</v>
      </c>
      <c r="K26" s="11" t="s">
        <v>113</v>
      </c>
      <c r="L26" s="11" t="s">
        <v>51</v>
      </c>
      <c r="M26" s="12"/>
      <c r="N26" s="12"/>
      <c r="O26" s="11"/>
      <c r="P26" s="12"/>
      <c r="Q26" s="11" t="s">
        <v>256</v>
      </c>
    </row>
    <row r="27" customFormat="false" ht="23.25" hidden="false" customHeight="true" outlineLevel="0" collapsed="false">
      <c r="A27" s="11" t="s">
        <v>257</v>
      </c>
      <c r="B27" s="11" t="s">
        <v>258</v>
      </c>
      <c r="C27" s="11" t="s">
        <v>259</v>
      </c>
      <c r="D27" s="11" t="s">
        <v>260</v>
      </c>
      <c r="E27" s="11" t="s">
        <v>261</v>
      </c>
      <c r="F27" s="11"/>
      <c r="G27" s="11" t="s">
        <v>188</v>
      </c>
      <c r="H27" s="11"/>
      <c r="I27" s="11"/>
      <c r="J27" s="11" t="s">
        <v>49</v>
      </c>
      <c r="K27" s="11" t="s">
        <v>113</v>
      </c>
      <c r="L27" s="11" t="s">
        <v>51</v>
      </c>
      <c r="M27" s="12"/>
      <c r="N27" s="12"/>
      <c r="O27" s="11"/>
      <c r="P27" s="12"/>
      <c r="Q27" s="11" t="s">
        <v>262</v>
      </c>
    </row>
    <row r="28" customFormat="false" ht="15" hidden="false" customHeight="true" outlineLevel="0" collapsed="false">
      <c r="A28" s="10" t="s">
        <v>263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customFormat="false" ht="34.5" hidden="false" customHeight="true" outlineLevel="0" collapsed="false">
      <c r="A29" s="11" t="s">
        <v>264</v>
      </c>
      <c r="B29" s="11" t="s">
        <v>265</v>
      </c>
      <c r="C29" s="11" t="s">
        <v>266</v>
      </c>
      <c r="D29" s="11" t="s">
        <v>267</v>
      </c>
      <c r="E29" s="11" t="s">
        <v>268</v>
      </c>
      <c r="F29" s="11"/>
      <c r="G29" s="11" t="s">
        <v>269</v>
      </c>
      <c r="H29" s="11"/>
      <c r="I29" s="11"/>
      <c r="J29" s="11" t="s">
        <v>51</v>
      </c>
      <c r="K29" s="11" t="s">
        <v>113</v>
      </c>
      <c r="L29" s="11" t="s">
        <v>51</v>
      </c>
      <c r="M29" s="12"/>
      <c r="N29" s="12"/>
      <c r="O29" s="11" t="s">
        <v>270</v>
      </c>
      <c r="P29" s="12"/>
      <c r="Q29" s="11" t="s">
        <v>271</v>
      </c>
    </row>
    <row r="30" customFormat="false" ht="23.25" hidden="false" customHeight="true" outlineLevel="0" collapsed="false">
      <c r="A30" s="11" t="s">
        <v>272</v>
      </c>
      <c r="B30" s="11" t="s">
        <v>265</v>
      </c>
      <c r="C30" s="11" t="s">
        <v>266</v>
      </c>
      <c r="D30" s="11" t="s">
        <v>273</v>
      </c>
      <c r="E30" s="11" t="s">
        <v>274</v>
      </c>
      <c r="F30" s="11"/>
      <c r="G30" s="11" t="s">
        <v>269</v>
      </c>
      <c r="H30" s="11"/>
      <c r="I30" s="11"/>
      <c r="J30" s="11" t="s">
        <v>51</v>
      </c>
      <c r="K30" s="11" t="s">
        <v>113</v>
      </c>
      <c r="L30" s="11" t="s">
        <v>51</v>
      </c>
      <c r="M30" s="12"/>
      <c r="N30" s="12"/>
      <c r="O30" s="11" t="s">
        <v>275</v>
      </c>
      <c r="P30" s="12"/>
      <c r="Q30" s="11" t="s">
        <v>276</v>
      </c>
    </row>
  </sheetData>
  <mergeCells count="5">
    <mergeCell ref="A1:Q1"/>
    <mergeCell ref="A2:Q2"/>
    <mergeCell ref="A5:Q5"/>
    <mergeCell ref="A22:Q22"/>
    <mergeCell ref="A28:Q28"/>
  </mergeCells>
  <dataValidations count="2">
    <dataValidation allowBlank="true" errorStyle="stop" operator="between" showDropDown="false" showErrorMessage="false" showInputMessage="false" sqref="L5:L30" type="list">
      <formula1>"Research,Ready to contact,Contacted,Replied,Call booked,Demo given,Trial,Closed — Won,Closed — Lost,Nurture"</formula1>
      <formula2>0</formula2>
    </dataValidation>
    <dataValidation allowBlank="true" errorStyle="stop" operator="between" showDropDown="false" showErrorMessage="false" showInputMessage="false" sqref="K5:K30" type="list">
      <formula1>"A,B,C"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2"/>
    <col collapsed="false" customWidth="true" hidden="false" outlineLevel="0" max="3" min="3" style="1" width="38"/>
    <col collapsed="false" customWidth="true" hidden="false" outlineLevel="0" max="4" min="4" style="1" width="48"/>
    <col collapsed="false" customWidth="true" hidden="false" outlineLevel="0" max="5" min="5" style="1" width="46"/>
  </cols>
  <sheetData>
    <row r="1" customFormat="false" ht="15.75" hidden="false" customHeight="true" outlineLevel="0" collapsed="false">
      <c r="A1" s="13" t="s">
        <v>277</v>
      </c>
      <c r="B1" s="13"/>
      <c r="C1" s="13"/>
      <c r="D1" s="13"/>
      <c r="E1" s="13"/>
    </row>
    <row r="3" customFormat="false" ht="24" hidden="false" customHeight="true" outlineLevel="0" collapsed="false">
      <c r="A3" s="5" t="s">
        <v>278</v>
      </c>
      <c r="B3" s="5" t="s">
        <v>279</v>
      </c>
      <c r="C3" s="5" t="s">
        <v>280</v>
      </c>
      <c r="D3" s="5" t="s">
        <v>281</v>
      </c>
      <c r="E3" s="5" t="s">
        <v>282</v>
      </c>
    </row>
    <row r="4" customFormat="false" ht="23.25" hidden="false" customHeight="true" outlineLevel="0" collapsed="false">
      <c r="A4" s="11" t="s">
        <v>283</v>
      </c>
      <c r="B4" s="11" t="s">
        <v>284</v>
      </c>
      <c r="C4" s="11" t="s">
        <v>285</v>
      </c>
      <c r="D4" s="11" t="s">
        <v>286</v>
      </c>
      <c r="E4" s="11" t="s">
        <v>287</v>
      </c>
    </row>
    <row r="5" customFormat="false" ht="34.5" hidden="false" customHeight="true" outlineLevel="0" collapsed="false">
      <c r="A5" s="11" t="s">
        <v>288</v>
      </c>
      <c r="B5" s="11" t="s">
        <v>289</v>
      </c>
      <c r="C5" s="11" t="s">
        <v>290</v>
      </c>
      <c r="D5" s="11" t="s">
        <v>291</v>
      </c>
      <c r="E5" s="11" t="s">
        <v>292</v>
      </c>
    </row>
    <row r="6" customFormat="false" ht="15" hidden="false" customHeight="true" outlineLevel="0" collapsed="false">
      <c r="A6" s="11" t="s">
        <v>283</v>
      </c>
      <c r="B6" s="11" t="s">
        <v>293</v>
      </c>
      <c r="C6" s="11" t="s">
        <v>294</v>
      </c>
      <c r="D6" s="11" t="s">
        <v>295</v>
      </c>
      <c r="E6" s="11" t="s">
        <v>296</v>
      </c>
    </row>
    <row r="7" customFormat="false" ht="23.25" hidden="false" customHeight="true" outlineLevel="0" collapsed="false">
      <c r="A7" s="11" t="s">
        <v>283</v>
      </c>
      <c r="B7" s="11" t="s">
        <v>297</v>
      </c>
      <c r="C7" s="11" t="s">
        <v>298</v>
      </c>
      <c r="D7" s="11" t="s">
        <v>299</v>
      </c>
      <c r="E7" s="11" t="s">
        <v>300</v>
      </c>
    </row>
    <row r="8" customFormat="false" ht="15" hidden="false" customHeight="true" outlineLevel="0" collapsed="false">
      <c r="A8" s="11" t="s">
        <v>283</v>
      </c>
      <c r="B8" s="11" t="s">
        <v>301</v>
      </c>
      <c r="C8" s="11" t="s">
        <v>302</v>
      </c>
      <c r="D8" s="11" t="s">
        <v>303</v>
      </c>
      <c r="E8" s="11" t="s">
        <v>304</v>
      </c>
    </row>
    <row r="9" customFormat="false" ht="23.25" hidden="false" customHeight="true" outlineLevel="0" collapsed="false">
      <c r="A9" s="11" t="s">
        <v>305</v>
      </c>
      <c r="B9" s="11" t="s">
        <v>306</v>
      </c>
      <c r="C9" s="11" t="s">
        <v>307</v>
      </c>
      <c r="D9" s="11" t="s">
        <v>308</v>
      </c>
      <c r="E9" s="11" t="s">
        <v>309</v>
      </c>
    </row>
    <row r="10" customFormat="false" ht="15" hidden="false" customHeight="true" outlineLevel="0" collapsed="false">
      <c r="A10" s="11" t="s">
        <v>305</v>
      </c>
      <c r="B10" s="11" t="s">
        <v>310</v>
      </c>
      <c r="C10" s="11" t="s">
        <v>311</v>
      </c>
      <c r="D10" s="11" t="s">
        <v>312</v>
      </c>
      <c r="E10" s="11" t="s">
        <v>313</v>
      </c>
    </row>
    <row r="11" customFormat="false" ht="15" hidden="false" customHeight="true" outlineLevel="0" collapsed="false">
      <c r="A11" s="11" t="s">
        <v>305</v>
      </c>
      <c r="B11" s="11" t="s">
        <v>314</v>
      </c>
      <c r="C11" s="11" t="s">
        <v>315</v>
      </c>
      <c r="D11" s="11" t="s">
        <v>316</v>
      </c>
      <c r="E11" s="11" t="s">
        <v>317</v>
      </c>
    </row>
    <row r="12" customFormat="false" ht="15" hidden="false" customHeight="true" outlineLevel="0" collapsed="false">
      <c r="A12" s="11" t="s">
        <v>305</v>
      </c>
      <c r="B12" s="11" t="s">
        <v>318</v>
      </c>
      <c r="C12" s="11" t="s">
        <v>319</v>
      </c>
      <c r="D12" s="11" t="s">
        <v>320</v>
      </c>
      <c r="E12" s="11" t="s">
        <v>321</v>
      </c>
    </row>
    <row r="13" customFormat="false" ht="23.25" hidden="false" customHeight="true" outlineLevel="0" collapsed="false">
      <c r="A13" s="11" t="s">
        <v>322</v>
      </c>
      <c r="B13" s="11" t="s">
        <v>323</v>
      </c>
      <c r="C13" s="11" t="s">
        <v>324</v>
      </c>
      <c r="D13" s="11" t="s">
        <v>325</v>
      </c>
      <c r="E13" s="11" t="s">
        <v>326</v>
      </c>
    </row>
    <row r="14" customFormat="false" ht="15" hidden="false" customHeight="true" outlineLevel="0" collapsed="false">
      <c r="A14" s="11" t="s">
        <v>322</v>
      </c>
      <c r="B14" s="11" t="s">
        <v>327</v>
      </c>
      <c r="C14" s="11" t="s">
        <v>328</v>
      </c>
      <c r="D14" s="11" t="s">
        <v>329</v>
      </c>
      <c r="E14" s="11" t="s">
        <v>330</v>
      </c>
    </row>
    <row r="15" customFormat="false" ht="15" hidden="false" customHeight="true" outlineLevel="0" collapsed="false">
      <c r="A15" s="11" t="s">
        <v>322</v>
      </c>
      <c r="B15" s="11" t="s">
        <v>331</v>
      </c>
      <c r="C15" s="11" t="s">
        <v>332</v>
      </c>
      <c r="D15" s="11" t="s">
        <v>333</v>
      </c>
      <c r="E15" s="11" t="s">
        <v>334</v>
      </c>
    </row>
    <row r="16" customFormat="false" ht="15" hidden="false" customHeight="true" outlineLevel="0" collapsed="false">
      <c r="A16" s="11" t="s">
        <v>322</v>
      </c>
      <c r="B16" s="11" t="s">
        <v>335</v>
      </c>
      <c r="C16" s="11" t="s">
        <v>336</v>
      </c>
      <c r="D16" s="11" t="s">
        <v>337</v>
      </c>
      <c r="E16" s="11" t="s">
        <v>338</v>
      </c>
    </row>
    <row r="17" customFormat="false" ht="15" hidden="false" customHeight="true" outlineLevel="0" collapsed="false">
      <c r="A17" s="11" t="s">
        <v>322</v>
      </c>
      <c r="B17" s="11" t="s">
        <v>339</v>
      </c>
      <c r="C17" s="11" t="s">
        <v>340</v>
      </c>
      <c r="D17" s="11" t="s">
        <v>341</v>
      </c>
      <c r="E17" s="11" t="s">
        <v>342</v>
      </c>
    </row>
    <row r="18" customFormat="false" ht="23.25" hidden="false" customHeight="true" outlineLevel="0" collapsed="false">
      <c r="A18" s="11" t="s">
        <v>343</v>
      </c>
      <c r="B18" s="11" t="s">
        <v>344</v>
      </c>
      <c r="C18" s="11" t="s">
        <v>345</v>
      </c>
      <c r="D18" s="11" t="s">
        <v>346</v>
      </c>
      <c r="E18" s="11" t="s">
        <v>347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14"/>
  </cols>
  <sheetData>
    <row r="1" customFormat="false" ht="17.25" hidden="false" customHeight="true" outlineLevel="0" collapsed="false">
      <c r="A1" s="8" t="s">
        <v>348</v>
      </c>
      <c r="B1" s="8"/>
      <c r="C1" s="8"/>
    </row>
    <row r="3" customFormat="false" ht="15" hidden="false" customHeight="true" outlineLevel="0" collapsed="false">
      <c r="A3" s="14" t="s">
        <v>38</v>
      </c>
      <c r="B3" s="14" t="s">
        <v>349</v>
      </c>
      <c r="C3" s="14" t="s">
        <v>350</v>
      </c>
    </row>
    <row r="4" customFormat="false" ht="15" hidden="false" customHeight="true" outlineLevel="0" collapsed="false">
      <c r="A4" s="15" t="s">
        <v>51</v>
      </c>
      <c r="B4" s="15" t="n">
        <f aca="false">COUNTIF(Prospects!L:L,A4)</f>
        <v>15</v>
      </c>
      <c r="C4" s="16" t="n">
        <f aca="false">IF(COUNTA(Prospects!A2:A1000)=0,0,B4/COUNTA(Prospects!A2:A1000))</f>
        <v>1</v>
      </c>
    </row>
    <row r="5" customFormat="false" ht="15" hidden="false" customHeight="true" outlineLevel="0" collapsed="false">
      <c r="A5" s="15" t="s">
        <v>351</v>
      </c>
      <c r="B5" s="15" t="n">
        <f aca="false">COUNTIF(Prospects!L:L,A5)</f>
        <v>0</v>
      </c>
      <c r="C5" s="16" t="n">
        <f aca="false">IF(COUNTA(Prospects!A2:A1000)=0,0,B5/COUNTA(Prospects!A2:A1000))</f>
        <v>0</v>
      </c>
    </row>
    <row r="6" customFormat="false" ht="15" hidden="false" customHeight="true" outlineLevel="0" collapsed="false">
      <c r="A6" s="15" t="s">
        <v>352</v>
      </c>
      <c r="B6" s="15" t="n">
        <f aca="false">COUNTIF(Prospects!L:L,A6)</f>
        <v>0</v>
      </c>
      <c r="C6" s="16" t="n">
        <f aca="false">IF(COUNTA(Prospects!A2:A1000)=0,0,B6/COUNTA(Prospects!A2:A1000))</f>
        <v>0</v>
      </c>
    </row>
    <row r="7" customFormat="false" ht="15" hidden="false" customHeight="true" outlineLevel="0" collapsed="false">
      <c r="A7" s="15" t="s">
        <v>132</v>
      </c>
      <c r="B7" s="15" t="n">
        <f aca="false">COUNTIF(Prospects!L:L,A7)</f>
        <v>0</v>
      </c>
      <c r="C7" s="16" t="n">
        <f aca="false">IF(COUNTA(Prospects!A2:A1000)=0,0,B7/COUNTA(Prospects!A2:A1000))</f>
        <v>0</v>
      </c>
    </row>
    <row r="8" customFormat="false" ht="15" hidden="false" customHeight="true" outlineLevel="0" collapsed="false">
      <c r="A8" s="15" t="s">
        <v>353</v>
      </c>
      <c r="B8" s="15" t="n">
        <f aca="false">COUNTIF(Prospects!L:L,A8)</f>
        <v>0</v>
      </c>
      <c r="C8" s="16" t="n">
        <f aca="false">IF(COUNTA(Prospects!A2:A1000)=0,0,B8/COUNTA(Prospects!A2:A1000))</f>
        <v>0</v>
      </c>
    </row>
    <row r="9" customFormat="false" ht="15" hidden="false" customHeight="true" outlineLevel="0" collapsed="false">
      <c r="A9" s="15" t="s">
        <v>354</v>
      </c>
      <c r="B9" s="15" t="n">
        <f aca="false">COUNTIF(Prospects!L:L,A9)</f>
        <v>0</v>
      </c>
      <c r="C9" s="16" t="n">
        <f aca="false">IF(COUNTA(Prospects!A2:A1000)=0,0,B9/COUNTA(Prospects!A2:A1000))</f>
        <v>0</v>
      </c>
    </row>
    <row r="10" customFormat="false" ht="15" hidden="false" customHeight="true" outlineLevel="0" collapsed="false">
      <c r="A10" s="15" t="s">
        <v>355</v>
      </c>
      <c r="B10" s="15" t="n">
        <f aca="false">COUNTIF(Prospects!L:L,A10)</f>
        <v>0</v>
      </c>
      <c r="C10" s="16" t="n">
        <f aca="false">IF(COUNTA(Prospects!A2:A1000)=0,0,B10/COUNTA(Prospects!A2:A1000))</f>
        <v>0</v>
      </c>
    </row>
    <row r="11" customFormat="false" ht="15" hidden="false" customHeight="true" outlineLevel="0" collapsed="false">
      <c r="A11" s="15" t="s">
        <v>356</v>
      </c>
      <c r="B11" s="15" t="n">
        <f aca="false">COUNTIF(Prospects!L:L,A11)</f>
        <v>0</v>
      </c>
      <c r="C11" s="16" t="n">
        <f aca="false">IF(COUNTA(Prospects!A2:A1000)=0,0,B11/COUNTA(Prospects!A2:A1000))</f>
        <v>0</v>
      </c>
    </row>
    <row r="12" customFormat="false" ht="15" hidden="false" customHeight="true" outlineLevel="0" collapsed="false">
      <c r="A12" s="15" t="s">
        <v>357</v>
      </c>
      <c r="B12" s="15" t="n">
        <f aca="false">COUNTIF(Prospects!L:L,A12)</f>
        <v>0</v>
      </c>
      <c r="C12" s="16" t="n">
        <f aca="false">IF(COUNTA(Prospects!A2:A1000)=0,0,B12/COUNTA(Prospects!A2:A1000))</f>
        <v>0</v>
      </c>
    </row>
    <row r="13" customFormat="false" ht="15" hidden="false" customHeight="true" outlineLevel="0" collapsed="false">
      <c r="A13" s="15" t="s">
        <v>358</v>
      </c>
      <c r="B13" s="15" t="n">
        <f aca="false">COUNTIF(Prospects!L:L,A13)</f>
        <v>0</v>
      </c>
      <c r="C13" s="16" t="n">
        <f aca="false">IF(COUNTA(Prospects!A2:A1000)=0,0,B13/COUNTA(Prospects!A2:A1000))</f>
        <v>0</v>
      </c>
    </row>
    <row r="14" customFormat="false" ht="15" hidden="false" customHeight="true" outlineLevel="0" collapsed="false">
      <c r="A14" s="17" t="s">
        <v>359</v>
      </c>
      <c r="B14" s="17" t="n">
        <f aca="false">COUNTA(Prospects!A2:A1000)</f>
        <v>15</v>
      </c>
      <c r="C14" s="18"/>
    </row>
    <row r="16" customFormat="false" ht="15" hidden="false" customHeight="true" outlineLevel="0" collapsed="false">
      <c r="A16" s="19" t="s">
        <v>360</v>
      </c>
    </row>
    <row r="18" customFormat="false" ht="15" hidden="false" customHeight="true" outlineLevel="0" collapsed="false">
      <c r="A18" s="3" t="s">
        <v>361</v>
      </c>
      <c r="B18" s="3" t="s">
        <v>362</v>
      </c>
    </row>
    <row r="19" customFormat="false" ht="15" hidden="false" customHeight="true" outlineLevel="0" collapsed="false">
      <c r="A19" s="3" t="s">
        <v>363</v>
      </c>
      <c r="B19" s="3" t="s">
        <v>362</v>
      </c>
    </row>
    <row r="20" customFormat="false" ht="15" hidden="false" customHeight="true" outlineLevel="0" collapsed="false">
      <c r="A20" s="3" t="s">
        <v>364</v>
      </c>
      <c r="B20" s="3" t="s">
        <v>365</v>
      </c>
    </row>
    <row r="21" customFormat="false" ht="15" hidden="false" customHeight="true" outlineLevel="0" collapsed="false">
      <c r="A21" s="3" t="s">
        <v>366</v>
      </c>
      <c r="B21" s="3" t="s">
        <v>367</v>
      </c>
    </row>
    <row r="22" customFormat="false" ht="15" hidden="false" customHeight="true" outlineLevel="0" collapsed="false">
      <c r="A22" s="3" t="s">
        <v>368</v>
      </c>
      <c r="B22" s="3" t="s">
        <v>369</v>
      </c>
    </row>
    <row r="23" customFormat="false" ht="15" hidden="false" customHeight="true" outlineLevel="0" collapsed="false">
      <c r="A23" s="3" t="s">
        <v>370</v>
      </c>
      <c r="B23" s="3" t="s">
        <v>371</v>
      </c>
    </row>
    <row r="24" customFormat="false" ht="15" hidden="false" customHeight="true" outlineLevel="0" collapsed="false">
      <c r="A24" s="3" t="s">
        <v>372</v>
      </c>
      <c r="B24" s="3" t="s">
        <v>373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2026-04-20T07:21:59Z</dcterms:created>
  <dc:creator>openpyxl</dc:creator>
  <dc:description/>
  <dc:language>en-US</dc:language>
  <cp:lastModifiedBy/>
  <dcterms:modified xsi:type="dcterms:W3CDTF">2026-04-20T10:01:52Z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